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343b83c863ac3af/263/产品部/海缆/"/>
    </mc:Choice>
  </mc:AlternateContent>
  <xr:revisionPtr revIDLastSave="799" documentId="8_{6B8F96F6-3BC1-DB4F-94F9-1EEB0F7A0038}" xr6:coauthVersionLast="47" xr6:coauthVersionMax="47" xr10:uidLastSave="{1494B637-DFAB-4C89-81FB-C95EB70F0508}"/>
  <bookViews>
    <workbookView xWindow="-24330" yWindow="1210" windowWidth="22950" windowHeight="11170" xr2:uid="{C0B0AF12-DB65-1640-8587-9E60B14A6539}"/>
  </bookViews>
  <sheets>
    <sheet name="Dashboard" sheetId="3" r:id="rId1"/>
    <sheet name="Inventory" sheetId="1" r:id="rId2"/>
    <sheet name="Revenue" sheetId="2" r:id="rId3"/>
  </sheets>
  <definedNames>
    <definedName name="FromArray_1">_xlfn.ANCHORARRAY(Dashboard!$B$10)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" l="1" a="1"/>
  <c r="G4" i="3" s="1"/>
  <c r="H4" i="3" s="1" a="1"/>
  <c r="H4" i="3" s="1"/>
  <c r="AY3" i="2"/>
  <c r="AY4" i="2"/>
  <c r="AY5" i="2"/>
  <c r="AY6" i="2"/>
  <c r="AY7" i="2"/>
  <c r="AY8" i="2"/>
  <c r="AX3" i="2"/>
  <c r="AX4" i="2"/>
  <c r="AX5" i="2"/>
  <c r="AX6" i="2"/>
  <c r="AX7" i="2"/>
  <c r="AX8" i="2"/>
  <c r="AW3" i="2"/>
  <c r="AW4" i="2"/>
  <c r="AW5" i="2"/>
  <c r="AW6" i="2"/>
  <c r="AW7" i="2"/>
  <c r="AW8" i="2"/>
  <c r="AV3" i="2"/>
  <c r="AV4" i="2"/>
  <c r="AV5" i="2"/>
  <c r="AV6" i="2"/>
  <c r="AV7" i="2"/>
  <c r="AV8" i="2"/>
  <c r="AU8" i="2" a="1"/>
  <c r="AU8" i="2" s="1"/>
  <c r="AU3" i="2" a="1"/>
  <c r="AU3" i="2" s="1"/>
  <c r="AU4" i="2" a="1"/>
  <c r="AU4" i="2" s="1"/>
  <c r="AU5" i="2" a="1"/>
  <c r="AU5" i="2" s="1"/>
  <c r="AU6" i="2" a="1"/>
  <c r="AU6" i="2" s="1"/>
  <c r="AU7" i="2" a="1"/>
  <c r="AU7" i="2" s="1"/>
  <c r="AU2" i="2" a="1"/>
  <c r="AU2" i="2" s="1"/>
  <c r="AS3" i="2"/>
  <c r="AS4" i="2"/>
  <c r="AS5" i="2"/>
  <c r="AS6" i="2"/>
  <c r="AS7" i="2"/>
  <c r="AS2" i="2"/>
  <c r="AR3" i="2"/>
  <c r="AR4" i="2"/>
  <c r="AR5" i="2"/>
  <c r="AR6" i="2"/>
  <c r="AR7" i="2"/>
  <c r="AR2" i="2"/>
  <c r="P3" i="2"/>
  <c r="P4" i="2"/>
  <c r="P5" i="2"/>
  <c r="P6" i="2"/>
  <c r="P7" i="2"/>
  <c r="P8" i="2"/>
  <c r="K3" i="2"/>
  <c r="D3" i="2" s="1"/>
  <c r="AZ3" i="2" s="1"/>
  <c r="K4" i="2"/>
  <c r="D4" i="2" s="1"/>
  <c r="AZ4" i="2" s="1"/>
  <c r="K5" i="2"/>
  <c r="D5" i="2" s="1"/>
  <c r="AZ5" i="2" s="1"/>
  <c r="K6" i="2"/>
  <c r="D6" i="2" s="1"/>
  <c r="AZ6" i="2" s="1"/>
  <c r="K7" i="2"/>
  <c r="K8" i="2"/>
  <c r="D8" i="2" s="1"/>
  <c r="AZ8" i="2" s="1"/>
  <c r="K2" i="2"/>
  <c r="D7" i="2"/>
  <c r="AZ7" i="2" s="1"/>
  <c r="D2" i="2"/>
  <c r="O3" i="2"/>
  <c r="O4" i="2"/>
  <c r="O5" i="2"/>
  <c r="O6" i="2"/>
  <c r="O7" i="2"/>
  <c r="O8" i="2"/>
  <c r="B20" i="3" a="1"/>
  <c r="B20" i="3" s="1"/>
  <c r="AC4" i="1"/>
  <c r="AD4" i="1" s="1"/>
  <c r="AF4" i="1" s="1"/>
  <c r="AE3" i="1"/>
  <c r="AE4" i="1"/>
  <c r="AE5" i="1"/>
  <c r="AE6" i="1"/>
  <c r="AE2" i="1"/>
  <c r="AY2" i="2"/>
  <c r="O2" i="2"/>
  <c r="P2" i="2" s="1"/>
  <c r="S3" i="1"/>
  <c r="S4" i="1"/>
  <c r="S5" i="1"/>
  <c r="S6" i="1"/>
  <c r="S2" i="1"/>
  <c r="P3" i="1"/>
  <c r="P4" i="1"/>
  <c r="P5" i="1"/>
  <c r="P6" i="1"/>
  <c r="P2" i="1"/>
  <c r="AV2" i="2" l="1"/>
  <c r="AZ2" i="2"/>
  <c r="B10" i="3" s="1" a="1"/>
  <c r="B10" i="3" s="1"/>
  <c r="AH3" i="1" a="1"/>
  <c r="AH3" i="1" s="1"/>
  <c r="AH4" i="1" a="1"/>
  <c r="AH4" i="1" s="1"/>
  <c r="AH5" i="1" a="1"/>
  <c r="AH5" i="1" s="1"/>
  <c r="AH6" i="1" a="1"/>
  <c r="AH6" i="1" s="1"/>
  <c r="AH2" i="1" a="1"/>
  <c r="AH2" i="1" s="1"/>
  <c r="AG2" i="1" a="1"/>
  <c r="AG2" i="1" s="1"/>
  <c r="AG3" i="1" a="1"/>
  <c r="AG3" i="1" s="1"/>
  <c r="AG4" i="1" a="1"/>
  <c r="AG4" i="1" s="1"/>
  <c r="AG5" i="1" a="1"/>
  <c r="AG5" i="1" s="1"/>
  <c r="AG6" i="1" a="1"/>
  <c r="AG6" i="1" s="1"/>
  <c r="AN2" i="3"/>
  <c r="AN3" i="3"/>
  <c r="AN1" i="3"/>
  <c r="E3" i="3"/>
  <c r="B3" i="3"/>
  <c r="AC5" i="1"/>
  <c r="AD5" i="1" s="1"/>
  <c r="AF5" i="1" s="1"/>
  <c r="AC2" i="1"/>
  <c r="AD2" i="1" s="1"/>
  <c r="AF2" i="1" s="1"/>
  <c r="AC6" i="1"/>
  <c r="AD6" i="1" s="1"/>
  <c r="AF6" i="1" s="1"/>
  <c r="AC3" i="1"/>
  <c r="AD3" i="1" s="1"/>
  <c r="AF3" i="1" s="1"/>
  <c r="AW2" i="2"/>
  <c r="AX2" i="2" s="1"/>
  <c r="C3" i="3" l="1"/>
  <c r="D3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tc={27BB894D-F943-FB45-8850-BB2B2CE9E9A3}</author>
    <author>tc={5E3A7F95-F5D7-D941-98D9-04106CAD833F}</author>
  </authors>
  <commentList>
    <comment ref="C1" authorId="0" shapeId="0" xr:uid="{27BB894D-F943-FB45-8850-BB2B2CE9E9A3}">
      <text>
        <t>[线程批注]
你的Excel版本可读取此线程批注; 但如果在更新版本的Excel中打开文件，则对批注所作的任何改动都将被删除。了解详细信息: https://go.microsoft.com/fwlink/?linkid=870924
注释:
    采购合同号 或 置换协议号 (不可留空)</t>
      </text>
    </comment>
    <comment ref="D1" authorId="1" shapeId="0" xr:uid="{5E3A7F95-F5D7-D941-98D9-04106CAD833F}">
      <text>
        <t>[线程批注]
你的Excel版本可读取此线程批注; 但如果在更新版本的Excel中打开文件，则对批注所作的任何改动都将被删除。了解详细信息: https://go.microsoft.com/fwlink/?linkid=870924
注释:
    自购就是263，置换的就是其他公司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tc={334393E7-B5C9-8843-BB76-103B3FD4D290}</author>
    <author>tc={742546C5-52D5-4EBF-A4DA-E2246C079A1A}</author>
    <author>tc={57752824-89D6-44B6-B22E-2AA488BF750B}</author>
    <author>tc={044AA327-A67A-44E2-B2F5-E8B9C13011FD}</author>
  </authors>
  <commentList>
    <comment ref="O1" authorId="0" shapeId="0" xr:uid="{334393E7-B5C9-8843-BB76-103B3FD4D290}">
      <text>
        <t>[线程批注]
你的Excel版本可读取此线程批注; 但如果在更新版本的Excel中打开文件，则对批注所作的任何改动都将被删除。了解详细信息: https://go.microsoft.com/fwlink/?linkid=870924
注释:
    Annual O&amp;M Fee</t>
      </text>
    </comment>
    <comment ref="P1" authorId="1" shapeId="0" xr:uid="{742546C5-52D5-4EBF-A4DA-E2246C079A1A}">
      <text>
        <t>[线程批注]
你的Excel版本可读取此线程批注; 但如果在更新版本的Excel中打开文件，则对批注所作的任何改动都将被删除。了解详细信息: https://go.microsoft.com/fwlink/?linkid=870924
注释:
    月度总营收</t>
      </text>
    </comment>
    <comment ref="X1" authorId="2" shapeId="0" xr:uid="{57752824-89D6-44B6-B22E-2AA488BF750B}">
      <text>
        <t xml:space="preserve">[线程批注]
你的Excel版本可读取此线程批注; 但如果在更新版本的Excel中打开文件，则对批注所作的任何改动都将被删除。了解详细信息: https://go.microsoft.com/fwlink/?linkid=870924
注释:
    填总价 (月租金 或 IRU总额). </t>
      </text>
    </comment>
    <comment ref="AU1" authorId="3" shapeId="0" xr:uid="{044AA327-A67A-44E2-B2F5-E8B9C13011FD}">
      <text>
        <t xml:space="preserve">[线程批注]
你的Excel版本可读取此线程批注; 但如果在更新版本的Excel中打开文件，则对批注所作的任何改动都将被删除。了解详细信息: https://go.microsoft.com/fwlink/?linkid=870924
注释:
    库存分摊成本 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9799F2-7F90-43F7-86C3-4C406EC88F4B}" keepAlive="1" name="查询 - 新建 文本文档 (2)" description="与工作簿中“新建 文本文档 (2)”查询的连接。" type="5" refreshedVersion="0" background="1" saveData="1">
    <dbPr connection="Provider=Microsoft.Mashup.OleDb.1;Data Source=$Workbook$;Location=&quot;新建 文本文档 (2)&quot;;Extended Properties=&quot;&quot;" command="SELECT * FROM [新建 文本文档 (2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<sst xmlns="http://schemas.openxmlformats.org/spreadsheetml/2006/main" count="299" uniqueCount="218">
  <si>
    <t>Resource ID</t>
    <phoneticPr fontId="1" type="noConversion"/>
  </si>
  <si>
    <t>Acquisition Type</t>
    <phoneticPr fontId="1" type="noConversion"/>
  </si>
  <si>
    <t>Swapped In</t>
  </si>
  <si>
    <t>Purchased</t>
  </si>
  <si>
    <t>Contract/Agreement Ref</t>
    <phoneticPr fontId="1" type="noConversion"/>
  </si>
  <si>
    <t>Ownership</t>
    <phoneticPr fontId="1" type="noConversion"/>
  </si>
  <si>
    <t>Cable System</t>
    <phoneticPr fontId="1" type="noConversion"/>
  </si>
  <si>
    <t>Fiber Pair</t>
  </si>
  <si>
    <t>Segement Type</t>
    <phoneticPr fontId="1" type="noConversion"/>
  </si>
  <si>
    <t>Route Descr.</t>
    <phoneticPr fontId="1" type="noConversion"/>
  </si>
  <si>
    <t xml:space="preserve">Unit </t>
    <phoneticPr fontId="1" type="noConversion"/>
  </si>
  <si>
    <t>Gbps</t>
  </si>
  <si>
    <t>Protection</t>
    <phoneticPr fontId="1" type="noConversion"/>
  </si>
  <si>
    <t>Unprotected</t>
  </si>
  <si>
    <t>Supplier</t>
    <phoneticPr fontId="1" type="noConversion"/>
  </si>
  <si>
    <t>Procument Model</t>
    <phoneticPr fontId="1" type="noConversion"/>
  </si>
  <si>
    <t>IRU</t>
  </si>
  <si>
    <t>Start Date</t>
    <phoneticPr fontId="1" type="noConversion"/>
  </si>
  <si>
    <t>End Date</t>
    <phoneticPr fontId="1" type="noConversion"/>
  </si>
  <si>
    <t>Annual OpEx</t>
    <phoneticPr fontId="1" type="noConversion"/>
  </si>
  <si>
    <t>O&amp;M Rate</t>
    <phoneticPr fontId="1" type="noConversion"/>
  </si>
  <si>
    <t>Monthly Lease</t>
    <phoneticPr fontId="1" type="noConversion"/>
  </si>
  <si>
    <t>Z-END Port</t>
    <phoneticPr fontId="1" type="noConversion"/>
  </si>
  <si>
    <t>A-END Country</t>
    <phoneticPr fontId="1" type="noConversion"/>
  </si>
  <si>
    <t>A-END City</t>
    <phoneticPr fontId="1" type="noConversion"/>
  </si>
  <si>
    <t>A-END PoP Site</t>
    <phoneticPr fontId="1" type="noConversion"/>
  </si>
  <si>
    <t>A-END Port</t>
    <phoneticPr fontId="1" type="noConversion"/>
  </si>
  <si>
    <t>Z-END Country</t>
    <phoneticPr fontId="1" type="noConversion"/>
  </si>
  <si>
    <t>Z-END City</t>
    <phoneticPr fontId="1" type="noConversion"/>
  </si>
  <si>
    <t>Z-END PoP Site</t>
    <phoneticPr fontId="1" type="noConversion"/>
  </si>
  <si>
    <t>Status</t>
    <phoneticPr fontId="1" type="noConversion"/>
  </si>
  <si>
    <t>Current User</t>
    <phoneticPr fontId="1" type="noConversion"/>
  </si>
  <si>
    <t>Order Link</t>
    <phoneticPr fontId="1" type="noConversion"/>
  </si>
  <si>
    <t>Capacity</t>
  </si>
  <si>
    <t>NTT</t>
    <phoneticPr fontId="1" type="noConversion"/>
  </si>
  <si>
    <t>Lease</t>
  </si>
  <si>
    <t>OTC (NRC / CapEx)</t>
    <phoneticPr fontId="1" type="noConversion"/>
  </si>
  <si>
    <t>Term (Months)</t>
    <phoneticPr fontId="1" type="noConversion"/>
  </si>
  <si>
    <t>Sales Order ID</t>
    <phoneticPr fontId="1" type="noConversion"/>
  </si>
  <si>
    <t>Customer Name</t>
    <phoneticPr fontId="1" type="noConversion"/>
  </si>
  <si>
    <t>Sales Status</t>
    <phoneticPr fontId="1" type="noConversion"/>
  </si>
  <si>
    <t>Sales Type</t>
  </si>
  <si>
    <t>Inventory Link</t>
    <phoneticPr fontId="1" type="noConversion"/>
  </si>
  <si>
    <t>Google</t>
    <phoneticPr fontId="1" type="noConversion"/>
  </si>
  <si>
    <t>NRC Sales</t>
    <phoneticPr fontId="1" type="noConversion"/>
  </si>
  <si>
    <t>MRC Sales</t>
    <phoneticPr fontId="1" type="noConversion"/>
  </si>
  <si>
    <t>Annual Sales</t>
    <phoneticPr fontId="1" type="noConversion"/>
  </si>
  <si>
    <t>Sales O&amp;M Rate</t>
    <phoneticPr fontId="1" type="noConversion"/>
  </si>
  <si>
    <t>Total MRR</t>
    <phoneticPr fontId="1" type="noConversion"/>
  </si>
  <si>
    <t>Ref: Cost PO (Cable)</t>
    <phoneticPr fontId="1" type="noConversion"/>
  </si>
  <si>
    <t>XC Cost (A-End)</t>
    <phoneticPr fontId="1" type="noConversion"/>
  </si>
  <si>
    <t>Ref: Cost PO (XC-A)</t>
    <phoneticPr fontId="1" type="noConversion"/>
  </si>
  <si>
    <t>XC Cost (Z-End)</t>
    <phoneticPr fontId="1" type="noConversion"/>
  </si>
  <si>
    <t>Ref: Cost PO (XC-Z)</t>
    <phoneticPr fontId="1" type="noConversion"/>
  </si>
  <si>
    <t>Smart Hands (One-off)</t>
    <phoneticPr fontId="1" type="noConversion"/>
  </si>
  <si>
    <t>Ref: Cost PO (SH)</t>
    <phoneticPr fontId="1" type="noConversion"/>
  </si>
  <si>
    <t>Total Direct MRC</t>
    <phoneticPr fontId="1" type="noConversion"/>
  </si>
  <si>
    <t>Total Direct NRC</t>
    <phoneticPr fontId="1" type="noConversion"/>
  </si>
  <si>
    <t>Sales Capacity</t>
    <phoneticPr fontId="1" type="noConversion"/>
  </si>
  <si>
    <t>Allocated Monthly Cost</t>
    <phoneticPr fontId="1" type="noConversion"/>
  </si>
  <si>
    <t>Total Monthly Cost</t>
    <phoneticPr fontId="1" type="noConversion"/>
  </si>
  <si>
    <t>Gross Margin ($)</t>
    <phoneticPr fontId="1" type="noConversion"/>
  </si>
  <si>
    <t>Margin (%)</t>
    <phoneticPr fontId="1" type="noConversion"/>
  </si>
  <si>
    <t>NRC Profit</t>
    <phoneticPr fontId="1" type="noConversion"/>
  </si>
  <si>
    <t>Cust. A-End Site</t>
    <phoneticPr fontId="1" type="noConversion"/>
  </si>
  <si>
    <t>Cust. Z-End Site</t>
    <phoneticPr fontId="1" type="noConversion"/>
  </si>
  <si>
    <t>Cable Supplier</t>
    <phoneticPr fontId="1" type="noConversion"/>
  </si>
  <si>
    <t>BH Supplier (A-End)</t>
    <phoneticPr fontId="1" type="noConversion"/>
  </si>
  <si>
    <t>BH Cost (A-End)</t>
    <phoneticPr fontId="1" type="noConversion"/>
  </si>
  <si>
    <t>Ref: Cost PO (BH-A)</t>
    <phoneticPr fontId="1" type="noConversion"/>
  </si>
  <si>
    <t>BH Supplier (Z-End)</t>
    <phoneticPr fontId="1" type="noConversion"/>
  </si>
  <si>
    <t>BH Cost (Z-End)</t>
    <phoneticPr fontId="1" type="noConversion"/>
  </si>
  <si>
    <t>XC Supplier (A-End)</t>
    <phoneticPr fontId="1" type="noConversion"/>
  </si>
  <si>
    <t>Ref: Cost PO (BH-Z)</t>
  </si>
  <si>
    <t>XC Supplier (Z-End)</t>
    <phoneticPr fontId="1" type="noConversion"/>
  </si>
  <si>
    <t>SH Supplier</t>
  </si>
  <si>
    <t>ByteDance</t>
  </si>
  <si>
    <t>Equinix SG1</t>
  </si>
  <si>
    <t>Mega-i HK</t>
  </si>
  <si>
    <t>PCCW</t>
  </si>
  <si>
    <t>Singtel</t>
  </si>
  <si>
    <t>PO-BH-001</t>
  </si>
  <si>
    <t>HKBN</t>
  </si>
  <si>
    <t>PO-BH-002</t>
  </si>
  <si>
    <t>Equinix</t>
  </si>
  <si>
    <t>PO-XC-001</t>
  </si>
  <si>
    <t>Mega-i</t>
  </si>
  <si>
    <t>PO-XC-002</t>
  </si>
  <si>
    <t>PO-SH-001</t>
  </si>
  <si>
    <t>Google</t>
  </si>
  <si>
    <t>NTT</t>
  </si>
  <si>
    <t>CoreSite</t>
  </si>
  <si>
    <t>Meta</t>
  </si>
  <si>
    <t>Zayo</t>
  </si>
  <si>
    <t>Switch</t>
  </si>
  <si>
    <t>CTR-2024-001</t>
  </si>
  <si>
    <t>Juno</t>
  </si>
  <si>
    <t>Tokyo - Los Angeles</t>
  </si>
  <si>
    <t>Protected</t>
  </si>
  <si>
    <t>JP</t>
  </si>
  <si>
    <t>Tokyo</t>
  </si>
  <si>
    <t>Shin-Maruyama CLS</t>
  </si>
  <si>
    <t>US</t>
  </si>
  <si>
    <t>Los Angeles</t>
  </si>
  <si>
    <t>CoreSite LA2</t>
  </si>
  <si>
    <t>ADC</t>
  </si>
  <si>
    <t>Singapore - Tokyo</t>
  </si>
  <si>
    <t>SG</t>
  </si>
  <si>
    <t>Singapore</t>
  </si>
  <si>
    <t>Protection Sys</t>
    <phoneticPr fontId="1" type="noConversion"/>
  </si>
  <si>
    <t>INV-JUNO-001</t>
  </si>
  <si>
    <t>N/A</t>
  </si>
  <si>
    <t>Port-J1</t>
  </si>
  <si>
    <t>Port-LA1</t>
  </si>
  <si>
    <t>INV-JUNO-002</t>
  </si>
  <si>
    <t>Port-J2</t>
  </si>
  <si>
    <t>Port-LA2</t>
  </si>
  <si>
    <t>INV-SJC2-001</t>
  </si>
  <si>
    <t>SWAP-2024-88</t>
  </si>
  <si>
    <t>SJC2</t>
  </si>
  <si>
    <t>Singapore - Hong Kong</t>
  </si>
  <si>
    <t>Self-Protected Ring</t>
  </si>
  <si>
    <t>Port-S1</t>
  </si>
  <si>
    <t>HK</t>
  </si>
  <si>
    <t>Hong Kong</t>
  </si>
  <si>
    <t>Port-H1</t>
  </si>
  <si>
    <t>INV-ADC-001</t>
  </si>
  <si>
    <t>LSE-2025-002</t>
  </si>
  <si>
    <t>Port-S2</t>
  </si>
  <si>
    <t>Port-J3</t>
  </si>
  <si>
    <t>INV-APRICOT-01</t>
  </si>
  <si>
    <t>CTR-2025-99</t>
  </si>
  <si>
    <t>Apricot</t>
  </si>
  <si>
    <t>Tokyo - Singapore</t>
  </si>
  <si>
    <t>Port-TBD</t>
  </si>
  <si>
    <t>Equinix SG3</t>
  </si>
  <si>
    <r>
      <rPr>
        <sz val="12"/>
        <color theme="1"/>
        <rFont val="等线"/>
        <family val="2"/>
        <charset val="134"/>
      </rPr>
      <t>本公司</t>
    </r>
  </si>
  <si>
    <t>Capacity Size (Gbps)</t>
    <phoneticPr fontId="1" type="noConversion"/>
  </si>
  <si>
    <t>SO-2026-001</t>
  </si>
  <si>
    <t>Microsoft</t>
  </si>
  <si>
    <t>Tokyo CoreSite</t>
  </si>
  <si>
    <t>Singapore SG3</t>
  </si>
  <si>
    <t>PO-XC-101</t>
  </si>
  <si>
    <t>PO-XC-102</t>
  </si>
  <si>
    <t>SO-2026-002</t>
  </si>
  <si>
    <t>HFT Capital</t>
  </si>
  <si>
    <t>PO-XC-103</t>
  </si>
  <si>
    <t>PO-XC-104</t>
  </si>
  <si>
    <t>SO-2025-002</t>
  </si>
  <si>
    <t>Singapore SG1</t>
  </si>
  <si>
    <t>Tokyo SM-CLS</t>
  </si>
  <si>
    <t>PO-XC-201</t>
  </si>
  <si>
    <t>PO-XC-202</t>
  </si>
  <si>
    <t>SO-2025-003</t>
  </si>
  <si>
    <t>Las Vegas Switch</t>
  </si>
  <si>
    <t>PO-XC-301</t>
  </si>
  <si>
    <t>PO-XC-302</t>
  </si>
  <si>
    <t>SO-2025-001</t>
  </si>
  <si>
    <t>PO-CBL-001</t>
  </si>
  <si>
    <t>Gbic($300)+Eqx($200)</t>
  </si>
  <si>
    <t>3rd Party System</t>
    <phoneticPr fontId="1" type="noConversion"/>
  </si>
  <si>
    <t>PC-1</t>
  </si>
  <si>
    <t>PO-CBL-301</t>
  </si>
  <si>
    <t>AAG</t>
  </si>
  <si>
    <t>SO-SWAP-001</t>
  </si>
  <si>
    <t>LA</t>
  </si>
  <si>
    <t>PO-XC-SW01</t>
  </si>
  <si>
    <t>PO-XC-SW02</t>
  </si>
  <si>
    <t>Inventory</t>
  </si>
  <si>
    <t>Hybrid</t>
  </si>
  <si>
    <t>Resale</t>
  </si>
  <si>
    <t>Swapped out</t>
  </si>
  <si>
    <t>Used Capacity</t>
    <phoneticPr fontId="1" type="noConversion"/>
  </si>
  <si>
    <t>Remaining</t>
    <phoneticPr fontId="1" type="noConversion"/>
  </si>
  <si>
    <t>INV-JUNO-002</t>
    <phoneticPr fontId="1" type="noConversion"/>
  </si>
  <si>
    <t>Expiry Alert</t>
  </si>
  <si>
    <t>Renewal Alert</t>
  </si>
  <si>
    <t>Half Fiber Pair</t>
  </si>
  <si>
    <t>Account Manager</t>
    <phoneticPr fontId="1" type="noConversion"/>
  </si>
  <si>
    <t>Janna</t>
    <phoneticPr fontId="1" type="noConversion"/>
  </si>
  <si>
    <t>Miki</t>
    <phoneticPr fontId="1" type="noConversion"/>
  </si>
  <si>
    <t>Wayne</t>
    <phoneticPr fontId="1" type="noConversion"/>
  </si>
  <si>
    <t>Procument Dept</t>
    <phoneticPr fontId="1" type="noConversion"/>
  </si>
  <si>
    <t>总售出容量 (Total Sold Capacity)</t>
    <phoneticPr fontId="1" type="noConversion"/>
  </si>
  <si>
    <r>
      <rPr>
        <b/>
        <sz val="12"/>
        <color theme="1"/>
        <rFont val="等线"/>
        <family val="2"/>
        <charset val="134"/>
      </rPr>
      <t>月度总营收</t>
    </r>
    <r>
      <rPr>
        <b/>
        <sz val="12"/>
        <color theme="1"/>
        <rFont val="Calibri"/>
        <family val="2"/>
      </rPr>
      <t xml:space="preserve"> (Active MRR)</t>
    </r>
    <phoneticPr fontId="1" type="noConversion"/>
  </si>
  <si>
    <r>
      <rPr>
        <b/>
        <sz val="12"/>
        <color theme="1"/>
        <rFont val="等线"/>
        <family val="2"/>
        <charset val="134"/>
      </rPr>
      <t>月度总毛利</t>
    </r>
    <r>
      <rPr>
        <b/>
        <sz val="12"/>
        <color theme="1"/>
        <rFont val="Calibri"/>
        <family val="2"/>
      </rPr>
      <t xml:space="preserve"> (Total Monthly Profit)</t>
    </r>
    <phoneticPr fontId="1" type="noConversion"/>
  </si>
  <si>
    <r>
      <rPr>
        <b/>
        <sz val="12"/>
        <color theme="1"/>
        <rFont val="等线"/>
        <family val="2"/>
        <charset val="134"/>
      </rPr>
      <t>综合毛利率</t>
    </r>
    <r>
      <rPr>
        <b/>
        <sz val="12"/>
        <color theme="1"/>
        <rFont val="Calibri"/>
        <family val="2"/>
      </rPr>
      <t xml:space="preserve"> (Avg. Margin %)</t>
    </r>
    <phoneticPr fontId="1" type="noConversion"/>
  </si>
  <si>
    <r>
      <rPr>
        <sz val="12"/>
        <color theme="1"/>
        <rFont val="宋体"/>
        <family val="2"/>
        <charset val="134"/>
      </rPr>
      <t>客户</t>
    </r>
    <phoneticPr fontId="1" type="noConversion"/>
  </si>
  <si>
    <r>
      <rPr>
        <sz val="12"/>
        <color theme="1"/>
        <rFont val="宋体"/>
        <family val="2"/>
        <charset val="134"/>
      </rPr>
      <t>销售经理</t>
    </r>
    <phoneticPr fontId="1" type="noConversion"/>
  </si>
  <si>
    <r>
      <rPr>
        <sz val="12"/>
        <color theme="1"/>
        <rFont val="宋体"/>
        <family val="2"/>
        <charset val="134"/>
      </rPr>
      <t>到期日</t>
    </r>
    <phoneticPr fontId="1" type="noConversion"/>
  </si>
  <si>
    <r>
      <rPr>
        <sz val="12"/>
        <color theme="1"/>
        <rFont val="宋体"/>
        <family val="2"/>
        <charset val="134"/>
      </rPr>
      <t>剩余天数</t>
    </r>
    <phoneticPr fontId="1" type="noConversion"/>
  </si>
  <si>
    <r>
      <rPr>
        <b/>
        <sz val="12"/>
        <color theme="1"/>
        <rFont val="宋体"/>
        <family val="2"/>
        <charset val="134"/>
      </rPr>
      <t>销售排行</t>
    </r>
    <phoneticPr fontId="1" type="noConversion"/>
  </si>
  <si>
    <r>
      <rPr>
        <b/>
        <sz val="12"/>
        <color theme="1"/>
        <rFont val="宋体"/>
        <family val="2"/>
        <charset val="134"/>
      </rPr>
      <t>销售经理</t>
    </r>
    <phoneticPr fontId="1" type="noConversion"/>
  </si>
  <si>
    <r>
      <rPr>
        <b/>
        <sz val="12"/>
        <color theme="1"/>
        <rFont val="宋体"/>
        <family val="2"/>
        <charset val="134"/>
      </rPr>
      <t>贡献毛利</t>
    </r>
    <phoneticPr fontId="1" type="noConversion"/>
  </si>
  <si>
    <t>Inventory</t>
    <phoneticPr fontId="1" type="noConversion"/>
  </si>
  <si>
    <t>Resale</t>
    <phoneticPr fontId="1" type="noConversion"/>
  </si>
  <si>
    <t>Hybrid</t>
    <phoneticPr fontId="1" type="noConversion"/>
  </si>
  <si>
    <r>
      <rPr>
        <b/>
        <sz val="12"/>
        <color theme="1"/>
        <rFont val="微软雅黑"/>
        <family val="2"/>
        <charset val="134"/>
      </rPr>
      <t>销售续约清单</t>
    </r>
    <r>
      <rPr>
        <b/>
        <sz val="12"/>
        <color theme="1"/>
        <rFont val="Calibri"/>
        <family val="2"/>
      </rPr>
      <t xml:space="preserve"> (&lt;3</t>
    </r>
    <r>
      <rPr>
        <b/>
        <sz val="12"/>
        <color theme="1"/>
        <rFont val="微软雅黑"/>
        <family val="2"/>
        <charset val="134"/>
      </rPr>
      <t>个月</t>
    </r>
    <r>
      <rPr>
        <b/>
        <sz val="12"/>
        <color theme="1"/>
        <rFont val="Calibri"/>
        <family val="2"/>
      </rPr>
      <t>)</t>
    </r>
    <phoneticPr fontId="1" type="noConversion"/>
  </si>
  <si>
    <t xml:space="preserve">Supplier </t>
    <phoneticPr fontId="1" type="noConversion"/>
  </si>
  <si>
    <t>Days Left</t>
    <phoneticPr fontId="1" type="noConversion"/>
  </si>
  <si>
    <r>
      <rPr>
        <b/>
        <sz val="12"/>
        <color theme="1"/>
        <rFont val="Calibri"/>
        <family val="2"/>
      </rPr>
      <t xml:space="preserve">Inventory </t>
    </r>
    <r>
      <rPr>
        <b/>
        <sz val="12"/>
        <color theme="1"/>
        <rFont val="宋体"/>
        <family val="2"/>
        <charset val="134"/>
      </rPr>
      <t>资源</t>
    </r>
    <r>
      <rPr>
        <b/>
        <sz val="12"/>
        <color theme="1"/>
        <rFont val="微软雅黑"/>
        <family val="2"/>
        <charset val="134"/>
      </rPr>
      <t>续约清单</t>
    </r>
    <r>
      <rPr>
        <b/>
        <sz val="12"/>
        <color theme="1"/>
        <rFont val="Calibri"/>
        <family val="2"/>
      </rPr>
      <t xml:space="preserve"> </t>
    </r>
    <phoneticPr fontId="1" type="noConversion"/>
  </si>
  <si>
    <t>INV-JUNO-001</t>
    <phoneticPr fontId="1" type="noConversion"/>
  </si>
  <si>
    <t>OB-202401000045</t>
    <phoneticPr fontId="1" type="noConversion"/>
  </si>
  <si>
    <t>China Unicom (Hong Kong) Operations Limited</t>
    <phoneticPr fontId="1" type="noConversion"/>
  </si>
  <si>
    <t>Equinix HK1</t>
    <phoneticPr fontId="1" type="noConversion"/>
  </si>
  <si>
    <t>Coresite LA2</t>
    <phoneticPr fontId="1" type="noConversion"/>
  </si>
  <si>
    <t>TELEKOM MALAYSIA(HONGKONG) LIMITED</t>
    <phoneticPr fontId="1" type="noConversion"/>
  </si>
  <si>
    <t>ASE &amp; JUPITER</t>
    <phoneticPr fontId="1" type="noConversion"/>
  </si>
  <si>
    <t>IE1095336065</t>
    <phoneticPr fontId="1" type="noConversion"/>
  </si>
  <si>
    <t>Cable Cost Amount</t>
    <phoneticPr fontId="1" type="noConversion"/>
  </si>
  <si>
    <t>Cost Model</t>
    <phoneticPr fontId="1" type="noConversion"/>
  </si>
  <si>
    <t>Amort. Months</t>
    <phoneticPr fontId="1" type="noConversion"/>
  </si>
  <si>
    <t>Annual O&amp;M (Cable)</t>
    <phoneticPr fontId="1" type="noConversion"/>
  </si>
  <si>
    <t>Cable NRC Cost</t>
    <phoneticPr fontId="1" type="noConversion"/>
  </si>
  <si>
    <t>BH NRC (A)</t>
    <phoneticPr fontId="1" type="noConversion"/>
  </si>
  <si>
    <t>BH NRC (Z)</t>
    <phoneticPr fontId="1" type="noConversion"/>
  </si>
  <si>
    <t>XC NRC (A)</t>
    <phoneticPr fontId="1" type="noConversion"/>
  </si>
  <si>
    <t>XC NRC (Z)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</si>
</sst>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\$#,##0.00;\-\$#,##0.00"/>
    <numFmt numFmtId="177" formatCode="#,##0.00_ "/>
  </numFmts>
  <fonts count="15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Calibri"/>
      <family val="2"/>
    </font>
    <font>
      <sz val="12"/>
      <color theme="1"/>
      <name val="等线"/>
      <family val="2"/>
      <charset val="134"/>
    </font>
    <font>
      <b/>
      <sz val="12"/>
      <color theme="0"/>
      <name val="等线"/>
      <family val="2"/>
      <charset val="134"/>
      <scheme val="minor"/>
    </font>
    <font>
      <b/>
      <sz val="12"/>
      <color theme="0"/>
      <name val="Calibri"/>
      <family val="2"/>
    </font>
    <font>
      <sz val="12"/>
      <color theme="1"/>
      <name val="宋体"/>
      <family val="2"/>
      <charset val="134"/>
    </font>
    <font>
      <b/>
      <sz val="18"/>
      <color theme="9"/>
      <name val="Calibri"/>
      <family val="2"/>
    </font>
    <font>
      <b/>
      <sz val="18"/>
      <color theme="3" tint="0.249977111117893"/>
      <name val="Calibri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等线"/>
      <family val="2"/>
      <charset val="134"/>
    </font>
    <font>
      <b/>
      <sz val="12"/>
      <color theme="1"/>
      <name val="宋体"/>
      <family val="2"/>
      <charset val="134"/>
    </font>
    <font>
      <b/>
      <sz val="12"/>
      <color theme="1"/>
      <name val="微软雅黑"/>
      <family val="2"/>
      <charset val="134"/>
    </font>
    <font>
      <b/>
      <sz val="12"/>
      <color theme="1"/>
      <name val="Calibri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2" fillId="0" borderId="0" xfId="0" applyFont="1">
      <alignment vertical="center"/>
    </xf>
    <xf numFmtId="14" fontId="2" fillId="0" borderId="0" xfId="0" applyNumberFormat="1" applyFont="1">
      <alignment vertical="center"/>
    </xf>
    <xf numFmtId="10" fontId="2" fillId="0" borderId="0" xfId="0" applyNumberFormat="1" applyFont="1">
      <alignment vertical="center"/>
    </xf>
    <xf numFmtId="9" fontId="2" fillId="0" borderId="0" xfId="0" applyNumberFormat="1" applyFont="1">
      <alignment vertical="center"/>
    </xf>
    <xf numFmtId="176" fontId="2" fillId="0" borderId="0" xfId="0" applyNumberFormat="1" applyFo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4" borderId="0" xfId="0" applyFont="1" applyFill="1">
      <alignment vertical="center"/>
    </xf>
    <xf numFmtId="0" fontId="10" fillId="4" borderId="0" xfId="0" applyFont="1" applyFill="1" applyAlignment="1">
      <alignment horizontal="center" vertical="center"/>
    </xf>
    <xf numFmtId="0" fontId="10" fillId="4" borderId="0" xfId="0" applyFont="1" applyFill="1">
      <alignment vertical="center"/>
    </xf>
    <xf numFmtId="0" fontId="2" fillId="4" borderId="5" xfId="0" applyFont="1" applyFill="1" applyBorder="1">
      <alignment vertical="center"/>
    </xf>
    <xf numFmtId="0" fontId="2" fillId="4" borderId="6" xfId="0" applyFont="1" applyFill="1" applyBorder="1">
      <alignment vertical="center"/>
    </xf>
    <xf numFmtId="0" fontId="2" fillId="4" borderId="7" xfId="0" applyFont="1" applyFill="1" applyBorder="1">
      <alignment vertical="center"/>
    </xf>
    <xf numFmtId="0" fontId="2" fillId="4" borderId="8" xfId="0" applyFont="1" applyFill="1" applyBorder="1">
      <alignment vertical="center"/>
    </xf>
    <xf numFmtId="0" fontId="2" fillId="4" borderId="9" xfId="0" applyFont="1" applyFill="1" applyBorder="1">
      <alignment vertical="center"/>
    </xf>
    <xf numFmtId="14" fontId="2" fillId="4" borderId="0" xfId="0" applyNumberFormat="1" applyFont="1" applyFill="1">
      <alignment vertical="center"/>
    </xf>
    <xf numFmtId="14" fontId="2" fillId="4" borderId="6" xfId="0" applyNumberFormat="1" applyFont="1" applyFill="1" applyBorder="1">
      <alignment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176" fontId="2" fillId="4" borderId="0" xfId="0" applyNumberFormat="1" applyFont="1" applyFill="1">
      <alignment vertical="center"/>
    </xf>
    <xf numFmtId="0" fontId="2" fillId="4" borderId="3" xfId="0" applyFont="1" applyFill="1" applyBorder="1">
      <alignment vertical="center"/>
    </xf>
    <xf numFmtId="0" fontId="2" fillId="4" borderId="2" xfId="0" applyFont="1" applyFill="1" applyBorder="1">
      <alignment vertical="center"/>
    </xf>
    <xf numFmtId="0" fontId="2" fillId="4" borderId="4" xfId="0" applyFont="1" applyFill="1" applyBorder="1">
      <alignment vertical="center"/>
    </xf>
    <xf numFmtId="177" fontId="2" fillId="0" borderId="0" xfId="0" applyNumberFormat="1" applyFont="1">
      <alignment vertical="center"/>
    </xf>
    <xf numFmtId="0" fontId="14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176" fontId="7" fillId="4" borderId="0" xfId="0" applyNumberFormat="1" applyFont="1" applyFill="1" applyAlignment="1">
      <alignment horizontal="center" vertical="center"/>
    </xf>
    <xf numFmtId="176" fontId="8" fillId="4" borderId="0" xfId="0" applyNumberFormat="1" applyFont="1" applyFill="1" applyAlignment="1">
      <alignment horizontal="center" vertical="center"/>
    </xf>
    <xf numFmtId="10" fontId="9" fillId="4" borderId="0" xfId="0" applyNumberFormat="1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2" fillId="4" borderId="8" xfId="0" applyFont="1" applyFill="1" applyBorder="1" applyAlignment="1">
      <alignment vertical="center"/>
    </xf>
    <xf numFmtId="0" fontId="2" fillId="4" borderId="0" xfId="0" applyFont="1" applyFill="1" applyAlignment="1">
      <alignment vertical="center"/>
    </xf>
    <xf numFmtId="14" fontId="2" fillId="4" borderId="0" xfId="0" applyNumberFormat="1" applyFont="1" applyFill="1" applyAlignment="1">
      <alignment vertical="center"/>
    </xf>
    <xf numFmtId="0" fontId="2" fillId="4" borderId="9" xfId="0" applyFont="1" applyFill="1" applyBorder="1" applyAlignment="1">
      <alignment vertical="center"/>
    </xf>
  </cellXfs>
  <cellStyles count="1">
    <cellStyle name="常规" xfId="0" builtinId="0"/>
  </cellStyles>
  <dxfs count="8">
    <dxf>
      <font>
        <color rgb="FF9C0006"/>
      </font>
      <fill>
        <patternFill>
          <bgColor rgb="FFFFC7CE"/>
        </patternFill>
      </fill>
    </dxf>
    <dxf>
      <fill>
        <patternFill>
          <bgColor theme="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5" Type="http://schemas.openxmlformats.org/officeDocument/2006/relationships/connections" Target="connections.xml"/><Relationship Id="rId10" Type="http://schemas.openxmlformats.org/officeDocument/2006/relationships/calcChain" Target="calcChain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收入来源分析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27136463381719611"/>
          <c:y val="0.1677742862230093"/>
          <c:w val="0.47515472264923664"/>
          <c:h val="0.60891896411505131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FC9-41DD-ABD2-1D405AA6374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DAF-43D6-8AC5-F5B98A9E318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FC9-41DD-ABD2-1D405AA63748}"/>
              </c:ext>
            </c:extLst>
          </c:dPt>
          <c:dLbls>
            <c:dLbl>
              <c:idx val="0"/>
              <c:layout>
                <c:manualLayout>
                  <c:x val="-2.9806259314456036E-3"/>
                  <c:y val="0"/>
                </c:manualLayout>
              </c:layout>
              <c:tx>
                <c:rich>
                  <a:bodyPr/>
                  <a:lstStyle/>
                  <a:p>
                    <a:fld id="{D9C7CFE3-303B-4F83-989E-4747169CC725}" type="PERCENTAGE">
                      <a:rPr lang="en-US" altLang="zh-CN" b="1"/>
                      <a:pPr/>
                      <a:t>[百分比]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1FC9-41DD-ABD2-1D405AA63748}"/>
                </c:ext>
              </c:extLst>
            </c:dLbl>
            <c:dLbl>
              <c:idx val="1"/>
              <c:layout>
                <c:manualLayout>
                  <c:x val="0"/>
                  <c:y val="-7.0027454985572156E-17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DAF-43D6-8AC5-F5B98A9E318B}"/>
                </c:ext>
              </c:extLst>
            </c:dLbl>
            <c:dLbl>
              <c:idx val="2"/>
              <c:layout>
                <c:manualLayout>
                  <c:x val="-4.2547848433997911E-3"/>
                  <c:y val="-2.3616117187913554E-3"/>
                </c:manualLayout>
              </c:layout>
              <c:tx>
                <c:rich>
                  <a:bodyPr/>
                  <a:lstStyle/>
                  <a:p>
                    <a:fld id="{E9451A66-A1CC-49BF-B283-BF582B9E2DC0}" type="PERCENTAGE">
                      <a:rPr lang="en-US" altLang="zh-CN" b="1"/>
                      <a:pPr/>
                      <a:t>[百分比]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1FC9-41DD-ABD2-1D405AA6374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Dashboard!$AM$1:$AM$3</c:f>
              <c:strCache>
                <c:ptCount val="3"/>
                <c:pt idx="0">
                  <c:v>Inventory</c:v>
                </c:pt>
                <c:pt idx="1">
                  <c:v>Resale</c:v>
                </c:pt>
                <c:pt idx="2">
                  <c:v>Hybrid</c:v>
                </c:pt>
              </c:strCache>
            </c:strRef>
          </c:cat>
          <c:val>
            <c:numRef>
              <c:f>Dashboard!$AN$1:$AN$3</c:f>
              <c:numCache>
                <c:formatCode>General</c:formatCode>
                <c:ptCount val="3"/>
                <c:pt idx="0">
                  <c:v>46500</c:v>
                </c:pt>
                <c:pt idx="1">
                  <c:v>53500</c:v>
                </c:pt>
                <c:pt idx="2">
                  <c:v>4020.8333333333335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C9-41DD-ABD2-1D405AA6374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165100</xdr:colOff>
      <xdr:row>15</xdr:row>
      <xdr:rowOff>79669</xdr:rowOff>
    </xdr:from>
    <xdr:to>
      <xdr:col>10</xdr:col>
      <xdr:colOff>44450</xdr:colOff>
      <xdr:row>32</xdr:row>
      <xdr:rowOff>45367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3C09B0-970C-B126-1BC2-2DEEB52ABE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Nick Cai" id="{A167DE56-E509-DC45-A9E2-8B79E8854BAA}" userId="3343b83c863ac3af" providerId="Windows Live"/>
</personList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5-12-29T06:38:52.85" personId="{A167DE56-E509-DC45-A9E2-8B79E8854BAA}" id="{27BB894D-F943-FB45-8850-BB2B2CE9E9A3}">
    <text>采购合同号 或 置换协议号 (不可留空)</text>
  </threadedComment>
  <threadedComment ref="D1" dT="2025-12-29T05:45:02.45" personId="{A167DE56-E509-DC45-A9E2-8B79E8854BAA}" id="{5E3A7F95-F5D7-D941-98D9-04106CAD833F}">
    <text>自购就是263，置换的就是其他公司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1" dT="2025-12-29T07:45:46.76" personId="{A167DE56-E509-DC45-A9E2-8B79E8854BAA}" id="{334393E7-B5C9-8843-BB76-103B3FD4D290}">
    <text>Annual O&amp;M Fee</text>
  </threadedComment>
  <threadedComment ref="P1" dT="2025-12-29T12:24:48.42" personId="{A167DE56-E509-DC45-A9E2-8B79E8854BAA}" id="{742546C5-52D5-4EBF-A4DA-E2246C079A1A}">
    <text>月度总营收</text>
  </threadedComment>
  <threadedComment ref="X1" dT="2026-01-05T08:38:01.74" personId="{A167DE56-E509-DC45-A9E2-8B79E8854BAA}" id="{57752824-89D6-44B6-B22E-2AA488BF750B}">
    <text xml:space="preserve">填总价 (月租金 或 IRU总额). </text>
  </threadedComment>
  <threadedComment ref="AU1" dT="2025-12-29T13:33:37.73" personId="{A167DE56-E509-DC45-A9E2-8B79E8854BAA}" id="{044AA327-A67A-44E2-B2F5-E8B9C13011FD}">
    <text xml:space="preserve">库存分摊成本 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5E473-87C6-4BFB-B226-9A2B4FB7C19C}">
  <dimension ref="B1:AN32"/>
  <sheetViews>
    <sheetView tabSelected="1" topLeftCell="E1" zoomScaleNormal="100" workbookViewId="0">
      <selection activeCell="H9" sqref="H9"/>
    </sheetView>
  </sheetViews>
  <sheetFormatPr defaultRowHeight="15.5" x14ac:dyDescent="0.35"/>
  <cols>
    <col min="1" max="1" width="9.23046875" style="9"/>
    <col min="2" max="2" width="38" style="9" bestFit="1" customWidth="1"/>
    <col min="3" max="3" width="28.61328125" style="9" bestFit="1" customWidth="1"/>
    <col min="4" max="4" width="23.61328125" style="9" bestFit="1" customWidth="1"/>
    <col min="5" max="5" width="27.4609375" style="9" customWidth="1"/>
    <col min="6" max="6" width="9.23046875" style="9"/>
    <col min="7" max="7" width="14.84375" style="9" bestFit="1" customWidth="1"/>
    <col min="8" max="8" width="11.3046875" style="9" bestFit="1" customWidth="1"/>
    <col min="9" max="9" width="8.4609375" style="9" bestFit="1" customWidth="1"/>
    <col min="10" max="16384" width="9.23046875" style="9"/>
  </cols>
  <sheetData>
    <row r="1" spans="2:40" x14ac:dyDescent="0.35">
      <c r="AM1" s="9" t="s">
        <v>194</v>
      </c>
      <c r="AN1" s="9">
        <f ca="1">SUMIFS(Revenue!P:P, Revenue!E:E, "Inventory", Revenue!D:D, "Active")</f>
        <v>46500</v>
      </c>
    </row>
    <row r="2" spans="2:40" x14ac:dyDescent="0.35">
      <c r="B2" s="10" t="s">
        <v>184</v>
      </c>
      <c r="C2" s="10" t="s">
        <v>185</v>
      </c>
      <c r="D2" s="10" t="s">
        <v>186</v>
      </c>
      <c r="E2" s="10" t="s">
        <v>183</v>
      </c>
      <c r="G2" s="28" t="s">
        <v>191</v>
      </c>
      <c r="H2" s="28"/>
      <c r="AM2" s="9" t="s">
        <v>195</v>
      </c>
      <c r="AN2" s="9">
        <f ca="1">SUMIFS(Revenue!P:P, Revenue!E:E, "Resale", Revenue!D:D, "Active")</f>
        <v>53500</v>
      </c>
    </row>
    <row r="3" spans="2:40" x14ac:dyDescent="0.35">
      <c r="B3" s="29">
        <f ca="1">SUMIFS(Revenue!P:P, Revenue!D:D, "Active")</f>
        <v>104020.83333333334</v>
      </c>
      <c r="C3" s="30">
        <f ca="1">SUMIFS(Revenue!AW:AW, Revenue!D:D, "Active")</f>
        <v>90868.055555555562</v>
      </c>
      <c r="D3" s="31">
        <f ca="1">C3/B3</f>
        <v>0.87355631217037188</v>
      </c>
      <c r="E3" s="32" t="str">
        <f ca="1">SUMIFS(Revenue!AT:AT, Revenue!D:D, "Active") &amp; " Gbps"</f>
        <v>330 Gbps</v>
      </c>
      <c r="G3" s="11" t="s">
        <v>192</v>
      </c>
      <c r="H3" s="11" t="s">
        <v>193</v>
      </c>
      <c r="AM3" s="9" t="s">
        <v>196</v>
      </c>
      <c r="AN3" s="9">
        <f ca="1">SUMIFS(Revenue!P:P, Revenue!E:E, "Hybrid", Revenue!D:D, "Active")</f>
        <v>4020.8333333333335</v>
      </c>
    </row>
    <row r="4" spans="2:40" x14ac:dyDescent="0.35">
      <c r="B4" s="29"/>
      <c r="C4" s="30"/>
      <c r="D4" s="31"/>
      <c r="E4" s="32"/>
      <c r="G4" s="9" t="str" cm="1">
        <f t="array" aca="1" ref="G4:G6" ca="1">_xlfn.LET(_xlpm.NameList, Revenue!C:C, _xlpm.StatusList, Revenue!D:D, _xlpm.TypeList, Revenue!E:E, _xlpm.MarginList, Revenue!AW:AW, _xlpm.ValidRows, (_xlpm.NameList&lt;&gt;"")*(_xlpm.StatusList="Active")*(_xlpm.TypeList&lt;&gt;"置换出")*(_xlpm.NameList&lt;&gt;"Procument Dept"), _xlpm.UniqueNames, _xlfn.UNIQUE(_xlfn._xlws.FILTER(_xlpm.NameList, _xlpm.ValidRows, "暂无数据")), IF(INDEX(_xlpm.UniqueNames,1,1)="暂无数据", "暂无数据", _xlfn.SORTBY(_xlpm.UniqueNames, SUMIFS(_xlpm.MarginList, _xlpm.NameList, _xlpm.UniqueNames, _xlpm.StatusList, "Active", _xlpm.TypeList, "&lt;&gt;置换出"), -1)))</f>
        <v>Janna</v>
      </c>
      <c r="H4" s="22" cm="1">
        <f t="array" aca="1" ref="H4:H6" ca="1">IF(OR(G4="", G4="暂无数据"), "", SUMIFS(Revenue!AW:AW, Revenue!C:C,_xlfn.ANCHORARRAY( G4), Revenue!D:D, "Active", Revenue!E:E, "&lt;&gt;置换出", Revenue!E:E, "&lt;&gt;Swapped out"))</f>
        <v>67988.888888888891</v>
      </c>
    </row>
    <row r="5" spans="2:40" x14ac:dyDescent="0.35">
      <c r="B5" s="29"/>
      <c r="C5" s="30"/>
      <c r="D5" s="31"/>
      <c r="E5" s="32"/>
      <c r="G5" s="9" t="str">
        <f ca="1"/>
        <v>Wayne</v>
      </c>
      <c r="H5" s="22">
        <f ca="1"/>
        <v>25450</v>
      </c>
    </row>
    <row r="6" spans="2:40" x14ac:dyDescent="0.35">
      <c r="G6" s="9" t="str">
        <f ca="1"/>
        <v>Miki</v>
      </c>
      <c r="H6" s="22">
        <f ca="1"/>
        <v>2016.666666666667</v>
      </c>
    </row>
    <row r="7" spans="2:40" x14ac:dyDescent="0.35">
      <c r="H7" s="22"/>
    </row>
    <row r="8" spans="2:40" ht="16.5" x14ac:dyDescent="0.35">
      <c r="B8" s="27" t="s">
        <v>197</v>
      </c>
      <c r="C8" s="28"/>
      <c r="D8" s="28"/>
      <c r="E8" s="28"/>
      <c r="H8" s="22"/>
    </row>
    <row r="9" spans="2:40" x14ac:dyDescent="0.35">
      <c r="B9" s="19" t="s">
        <v>187</v>
      </c>
      <c r="C9" s="20" t="s">
        <v>188</v>
      </c>
      <c r="D9" s="20" t="s">
        <v>189</v>
      </c>
      <c r="E9" s="21" t="s">
        <v>190</v>
      </c>
      <c r="H9" s="22"/>
    </row>
    <row r="10" spans="2:40" x14ac:dyDescent="0.35">
      <c r="B10" s="33" t="str" cm="1">
        <f t="array" aca="1" ref="B10:E11" ca="1">_xlfn._xlws.FILTER(CHOOSE({1,2,3,4}, Revenue!B:B, Revenue!C:C, Revenue!K:K, Revenue!K:K-TODAY()), (Revenue!AZ:AZ="🔥 Renew Now (&lt;3m)")*(Revenue!D:D="Active"), "无紧急续约")</f>
        <v>ByteDance</v>
      </c>
      <c r="C10" s="34" t="str">
        <f ca="1"/>
        <v>Wayne</v>
      </c>
      <c r="D10" s="35">
        <f ca="1"/>
        <v>46053</v>
      </c>
      <c r="E10" s="36">
        <f ca="1"/>
        <v>26</v>
      </c>
    </row>
    <row r="11" spans="2:40" x14ac:dyDescent="0.35">
      <c r="B11" s="33" t="str">
        <f ca="1"/>
        <v>China Unicom (Hong Kong) Operations Limited</v>
      </c>
      <c r="C11" s="34" t="str">
        <f ca="1"/>
        <v>Janna</v>
      </c>
      <c r="D11" s="35">
        <f ca="1"/>
        <v>46036</v>
      </c>
      <c r="E11" s="36">
        <f ca="1"/>
        <v>9</v>
      </c>
    </row>
    <row r="12" spans="2:40" x14ac:dyDescent="0.35">
      <c r="B12" s="15"/>
      <c r="D12" s="17"/>
      <c r="E12" s="16"/>
      <c r="H12" s="22"/>
    </row>
    <row r="13" spans="2:40" x14ac:dyDescent="0.35">
      <c r="B13" s="15"/>
      <c r="D13" s="17"/>
      <c r="E13" s="16"/>
      <c r="H13" s="22"/>
    </row>
    <row r="14" spans="2:40" x14ac:dyDescent="0.35">
      <c r="B14" s="15"/>
      <c r="D14" s="17"/>
      <c r="E14" s="16"/>
      <c r="H14" s="22"/>
    </row>
    <row r="15" spans="2:40" x14ac:dyDescent="0.35">
      <c r="B15" s="15"/>
      <c r="D15" s="17"/>
      <c r="E15" s="16"/>
      <c r="H15" s="22"/>
    </row>
    <row r="16" spans="2:40" x14ac:dyDescent="0.35">
      <c r="B16" s="15"/>
      <c r="D16" s="17"/>
      <c r="E16" s="16"/>
      <c r="H16" s="22"/>
    </row>
    <row r="17" spans="2:8" x14ac:dyDescent="0.35">
      <c r="B17" s="12"/>
      <c r="C17" s="13"/>
      <c r="D17" s="18"/>
      <c r="E17" s="14"/>
      <c r="H17" s="22"/>
    </row>
    <row r="18" spans="2:8" ht="16.5" x14ac:dyDescent="0.35">
      <c r="B18" s="27" t="s">
        <v>200</v>
      </c>
      <c r="C18" s="28"/>
      <c r="D18" s="28"/>
      <c r="E18" s="28"/>
    </row>
    <row r="19" spans="2:8" x14ac:dyDescent="0.35">
      <c r="B19" s="23" t="s">
        <v>0</v>
      </c>
      <c r="C19" s="24" t="s">
        <v>198</v>
      </c>
      <c r="D19" s="24" t="s">
        <v>18</v>
      </c>
      <c r="E19" s="25" t="s">
        <v>199</v>
      </c>
    </row>
    <row r="20" spans="2:8" x14ac:dyDescent="0.35">
      <c r="B20" s="15" t="str" cm="1">
        <f t="array" aca="1" ref="B20:E20" ca="1">_xlfn._xlws.FILTER(CHOOSE({1,2,3,4}, Inventory!A:A, Inventory!L:L, Inventory!P:P, Inventory!P:P-TODAY()), (Inventory!AE:AE&lt;&gt;"OK")*(Inventory!AE:AE&lt;&gt;"")*(Inventory!AE:AE&lt;&gt;"Expiry Alert"), "✅ 上游资源健康")</f>
        <v>INV-ADC-001</v>
      </c>
      <c r="C20" s="9" t="str">
        <f ca="1"/>
        <v>NTT</v>
      </c>
      <c r="D20" s="17">
        <f ca="1"/>
        <v>46081</v>
      </c>
      <c r="E20" s="16">
        <f ca="1"/>
        <v>54</v>
      </c>
    </row>
    <row r="21" spans="2:8" x14ac:dyDescent="0.35">
      <c r="B21" s="15"/>
      <c r="E21" s="16"/>
    </row>
    <row r="22" spans="2:8" x14ac:dyDescent="0.35">
      <c r="B22" s="15"/>
      <c r="E22" s="16"/>
    </row>
    <row r="23" spans="2:8" x14ac:dyDescent="0.35">
      <c r="B23" s="15"/>
      <c r="E23" s="16"/>
    </row>
    <row r="24" spans="2:8" x14ac:dyDescent="0.35">
      <c r="B24" s="15"/>
      <c r="E24" s="16"/>
    </row>
    <row r="25" spans="2:8" x14ac:dyDescent="0.35">
      <c r="B25" s="15"/>
      <c r="E25" s="16"/>
    </row>
    <row r="26" spans="2:8" x14ac:dyDescent="0.35">
      <c r="B26" s="15"/>
      <c r="E26" s="16"/>
    </row>
    <row r="27" spans="2:8" x14ac:dyDescent="0.35">
      <c r="B27" s="15"/>
      <c r="E27" s="16"/>
    </row>
    <row r="28" spans="2:8" x14ac:dyDescent="0.35">
      <c r="B28" s="15"/>
      <c r="E28" s="16"/>
    </row>
    <row r="29" spans="2:8" x14ac:dyDescent="0.35">
      <c r="B29" s="15"/>
      <c r="E29" s="16"/>
    </row>
    <row r="30" spans="2:8" x14ac:dyDescent="0.35">
      <c r="B30" s="15"/>
      <c r="E30" s="16"/>
    </row>
    <row r="31" spans="2:8" x14ac:dyDescent="0.35">
      <c r="B31" s="15"/>
      <c r="E31" s="16"/>
    </row>
    <row r="32" spans="2:8" x14ac:dyDescent="0.35">
      <c r="B32" s="12"/>
      <c r="C32" s="13"/>
      <c r="D32" s="13"/>
      <c r="E32" s="14"/>
    </row>
  </sheetData>
  <mergeCells count="7">
    <mergeCell ref="B18:E18"/>
    <mergeCell ref="G2:H2"/>
    <mergeCell ref="B8:E8"/>
    <mergeCell ref="B3:B5"/>
    <mergeCell ref="C3:C5"/>
    <mergeCell ref="D3:D5"/>
    <mergeCell ref="E3:E5"/>
  </mergeCells>
  <phoneticPr fontId="1" type="noConversion"/>
  <conditionalFormatting sqref="D3">
    <cfRule type="cellIs" dxfId="7" priority="4" operator="lessThan">
      <formula>0.3</formula>
    </cfRule>
    <cfRule type="cellIs" dxfId="6" priority="5" operator="greaterThan">
      <formula>0.5</formula>
    </cfRule>
  </conditionalFormatting>
  <conditionalFormatting sqref="E20:E30">
    <cfRule type="cellIs" dxfId="5" priority="2" operator="lessThan">
      <formula>0</formula>
    </cfRule>
  </conditionalFormatting>
  <conditionalFormatting sqref="E20:E32">
    <cfRule type="cellIs" dxfId="4" priority="1" operator="between">
      <formula>0</formula>
      <formula>180</formula>
    </cfRule>
  </conditionalFormatting>
  <conditionalFormatting sqref="H12:H17 H4:H9">
    <cfRule type="dataBar" priority="6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{71DCFA19-F06D-48F1-941B-DCD7F5C52812}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1DCFA19-F06D-48F1-941B-DCD7F5C528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H12:H17 H4:H9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E22DD-FA0E-7243-B734-B7C758E1841D}">
  <dimension ref="A1:AH6"/>
  <sheetViews>
    <sheetView workbookViewId="0">
      <pane xSplit="1" ySplit="1" topLeftCell="W2" activePane="bottomRight" state="frozen"/>
      <selection pane="topRight" activeCell="B1" sqref="B1"/>
      <selection pane="bottomLeft" activeCell="A2" sqref="A2"/>
      <selection pane="bottomRight" activeCell="Q2" sqref="Q2"/>
    </sheetView>
  </sheetViews>
  <sheetFormatPr defaultColWidth="10.84375" defaultRowHeight="15.5" x14ac:dyDescent="0.35"/>
  <cols>
    <col min="1" max="1" width="13.61328125" style="1" bestFit="1" customWidth="1"/>
    <col min="2" max="2" width="14.15234375" style="1" bestFit="1" customWidth="1"/>
    <col min="3" max="3" width="20.765625" style="1" bestFit="1" customWidth="1"/>
    <col min="4" max="4" width="9.53515625" style="1" bestFit="1" customWidth="1"/>
    <col min="5" max="5" width="11.3828125" style="1" bestFit="1" customWidth="1"/>
    <col min="6" max="6" width="13" style="1" bestFit="1" customWidth="1"/>
    <col min="7" max="7" width="18.69140625" style="1" bestFit="1" customWidth="1"/>
    <col min="8" max="8" width="16.84375" style="1" bestFit="1" customWidth="1"/>
    <col min="9" max="9" width="11.84375" style="1" bestFit="1" customWidth="1"/>
    <col min="10" max="10" width="10.765625" style="1" bestFit="1" customWidth="1"/>
    <col min="11" max="11" width="15.84375" style="1" bestFit="1" customWidth="1"/>
    <col min="12" max="12" width="7.4609375" style="1" bestFit="1" customWidth="1"/>
    <col min="13" max="13" width="15.3828125" style="1" bestFit="1" customWidth="1"/>
    <col min="14" max="14" width="12.84375" style="1" bestFit="1" customWidth="1"/>
    <col min="15" max="15" width="8.765625" style="1" bestFit="1" customWidth="1"/>
    <col min="16" max="16" width="9.84375" style="1" bestFit="1" customWidth="1"/>
    <col min="17" max="17" width="15.61328125" style="1" bestFit="1" customWidth="1"/>
    <col min="18" max="18" width="9.15234375" style="1" bestFit="1" customWidth="1"/>
    <col min="19" max="19" width="11.07421875" style="1" bestFit="1" customWidth="1"/>
    <col min="20" max="20" width="12.4609375" style="1" bestFit="1" customWidth="1"/>
    <col min="21" max="21" width="12.84375" style="1" bestFit="1" customWidth="1"/>
    <col min="22" max="22" width="9.3828125" style="1" bestFit="1" customWidth="1"/>
    <col min="23" max="23" width="16.69140625" style="1" bestFit="1" customWidth="1"/>
    <col min="24" max="24" width="9.765625" style="1" bestFit="1" customWidth="1"/>
    <col min="25" max="25" width="12.4609375" style="1" bestFit="1" customWidth="1"/>
    <col min="26" max="26" width="9.84375" style="1" bestFit="1" customWidth="1"/>
    <col min="27" max="27" width="16.69140625" style="1" bestFit="1" customWidth="1"/>
    <col min="28" max="28" width="9.4609375" style="1" bestFit="1" customWidth="1"/>
    <col min="29" max="29" width="12.07421875" style="1" bestFit="1" customWidth="1"/>
    <col min="30" max="30" width="9.3046875" style="1" bestFit="1" customWidth="1"/>
    <col min="31" max="31" width="18.69140625" style="1" bestFit="1" customWidth="1"/>
    <col min="32" max="32" width="8.15234375" style="1" bestFit="1" customWidth="1"/>
    <col min="33" max="33" width="11.07421875" style="1" bestFit="1" customWidth="1"/>
    <col min="34" max="34" width="11.61328125" style="1" bestFit="1" customWidth="1"/>
    <col min="35" max="16384" width="10.84375" style="1"/>
  </cols>
  <sheetData>
    <row r="1" spans="1:34" x14ac:dyDescent="0.35">
      <c r="A1" s="6" t="s">
        <v>0</v>
      </c>
      <c r="B1" s="6" t="s">
        <v>1</v>
      </c>
      <c r="C1" s="6" t="s">
        <v>4</v>
      </c>
      <c r="D1" s="6" t="s">
        <v>5</v>
      </c>
      <c r="E1" s="6" t="s">
        <v>6</v>
      </c>
      <c r="F1" s="6" t="s">
        <v>8</v>
      </c>
      <c r="G1" s="6" t="s">
        <v>9</v>
      </c>
      <c r="H1" s="6" t="s">
        <v>137</v>
      </c>
      <c r="I1" s="6" t="s">
        <v>10</v>
      </c>
      <c r="J1" s="6" t="s">
        <v>12</v>
      </c>
      <c r="K1" s="6" t="s">
        <v>109</v>
      </c>
      <c r="L1" s="6" t="s">
        <v>14</v>
      </c>
      <c r="M1" s="6" t="s">
        <v>15</v>
      </c>
      <c r="N1" s="6" t="s">
        <v>37</v>
      </c>
      <c r="O1" s="6" t="s">
        <v>17</v>
      </c>
      <c r="P1" s="6" t="s">
        <v>18</v>
      </c>
      <c r="Q1" s="6" t="s">
        <v>36</v>
      </c>
      <c r="R1" s="6" t="s">
        <v>20</v>
      </c>
      <c r="S1" s="6" t="s">
        <v>19</v>
      </c>
      <c r="T1" s="6" t="s">
        <v>21</v>
      </c>
      <c r="U1" s="6" t="s">
        <v>23</v>
      </c>
      <c r="V1" s="6" t="s">
        <v>24</v>
      </c>
      <c r="W1" s="6" t="s">
        <v>25</v>
      </c>
      <c r="X1" s="6" t="s">
        <v>26</v>
      </c>
      <c r="Y1" s="6" t="s">
        <v>27</v>
      </c>
      <c r="Z1" s="6" t="s">
        <v>28</v>
      </c>
      <c r="AA1" s="6" t="s">
        <v>29</v>
      </c>
      <c r="AB1" s="6" t="s">
        <v>22</v>
      </c>
      <c r="AC1" s="6" t="s">
        <v>172</v>
      </c>
      <c r="AD1" s="6" t="s">
        <v>173</v>
      </c>
      <c r="AE1" s="6" t="s">
        <v>175</v>
      </c>
      <c r="AF1" s="6" t="s">
        <v>30</v>
      </c>
      <c r="AG1" s="6" t="s">
        <v>31</v>
      </c>
      <c r="AH1" s="6" t="s">
        <v>32</v>
      </c>
    </row>
    <row r="2" spans="1:34" x14ac:dyDescent="0.35">
      <c r="A2" s="1" t="s">
        <v>201</v>
      </c>
      <c r="B2" s="1" t="s">
        <v>3</v>
      </c>
      <c r="C2" s="1" t="s">
        <v>95</v>
      </c>
      <c r="D2" s="1" t="s">
        <v>136</v>
      </c>
      <c r="E2" s="1" t="s">
        <v>96</v>
      </c>
      <c r="F2" s="1" t="s">
        <v>33</v>
      </c>
      <c r="G2" s="1" t="s">
        <v>97</v>
      </c>
      <c r="H2" s="1">
        <v>100</v>
      </c>
      <c r="I2" s="2" t="s">
        <v>11</v>
      </c>
      <c r="J2" s="2" t="s">
        <v>13</v>
      </c>
      <c r="K2" s="1" t="s">
        <v>111</v>
      </c>
      <c r="L2" s="1" t="s">
        <v>79</v>
      </c>
      <c r="M2" s="1" t="s">
        <v>16</v>
      </c>
      <c r="N2" s="1">
        <v>180</v>
      </c>
      <c r="O2" s="2">
        <v>45658</v>
      </c>
      <c r="P2" s="2">
        <f>EDATE(O2, N2)-1</f>
        <v>51135</v>
      </c>
      <c r="Q2" s="1">
        <v>450000</v>
      </c>
      <c r="R2" s="3">
        <v>4.4999999999999998E-2</v>
      </c>
      <c r="S2" s="1">
        <f>Q2 * R2</f>
        <v>20250</v>
      </c>
      <c r="T2" s="1">
        <v>0</v>
      </c>
      <c r="U2" s="1" t="s">
        <v>99</v>
      </c>
      <c r="V2" s="1" t="s">
        <v>100</v>
      </c>
      <c r="W2" s="1" t="s">
        <v>101</v>
      </c>
      <c r="X2" s="1" t="s">
        <v>112</v>
      </c>
      <c r="Y2" s="1" t="s">
        <v>102</v>
      </c>
      <c r="Z2" s="1" t="s">
        <v>103</v>
      </c>
      <c r="AA2" s="1" t="s">
        <v>104</v>
      </c>
      <c r="AB2" s="1" t="s">
        <v>113</v>
      </c>
      <c r="AC2" s="1">
        <f ca="1">SUMIFS(Revenue!AT:AT, Revenue!F:F, A2, Revenue!D:D, "Active")</f>
        <v>20</v>
      </c>
      <c r="AD2" s="1">
        <f ca="1">H2 - AC2</f>
        <v>80</v>
      </c>
      <c r="AE2" s="1" t="str">
        <f ca="1">IF(P2="", "", IF(P2 &lt; TODAY(), "Expired", IF(P2 - TODAY() &lt; 180, "⚠️ Renew Soon (&lt;6m)", "OK")))</f>
        <v>OK</v>
      </c>
      <c r="AF2" s="1" t="str">
        <f ca="1">IF(OR(O2="", P2=""), "Draft", IF(TODAY() &gt; P2, "Expired", IF(AD2 &lt;= 0, "Sold Out", "Available")))</f>
        <v>Available</v>
      </c>
      <c r="AG2" s="1" t="str" cm="1">
        <f t="array" aca="1" ref="AG2" ca="1">_xlfn.TEXTJOIN(", ", TRUE, _xlfn._xlws.FILTER(Revenue!B:B, (Revenue!F:F=A2)*(Revenue!D:D="Active"), ""))</f>
        <v>Meta</v>
      </c>
      <c r="AH2" s="1" t="str" cm="1">
        <f t="array" aca="1" ref="AH2" ca="1">_xlfn.TEXTJOIN(", ", TRUE, _xlfn._xlws.FILTER(Revenue!A:A, (Revenue!F:F=A2)*(Revenue!D:D="Active"), ""))</f>
        <v>SO-2025-003</v>
      </c>
    </row>
    <row r="3" spans="1:34" x14ac:dyDescent="0.35">
      <c r="A3" s="1" t="s">
        <v>114</v>
      </c>
      <c r="B3" s="1" t="s">
        <v>3</v>
      </c>
      <c r="C3" s="1" t="s">
        <v>95</v>
      </c>
      <c r="D3" s="1" t="s">
        <v>136</v>
      </c>
      <c r="E3" s="1" t="s">
        <v>96</v>
      </c>
      <c r="F3" s="1" t="s">
        <v>33</v>
      </c>
      <c r="G3" s="1" t="s">
        <v>97</v>
      </c>
      <c r="H3" s="1">
        <v>100</v>
      </c>
      <c r="I3" s="2" t="s">
        <v>11</v>
      </c>
      <c r="J3" s="2" t="s">
        <v>98</v>
      </c>
      <c r="K3" s="1" t="s">
        <v>105</v>
      </c>
      <c r="L3" s="1" t="s">
        <v>79</v>
      </c>
      <c r="M3" s="1" t="s">
        <v>16</v>
      </c>
      <c r="N3" s="1">
        <v>180</v>
      </c>
      <c r="O3" s="2">
        <v>45658</v>
      </c>
      <c r="P3" s="2">
        <f t="shared" ref="P3:P6" si="0">EDATE(O3, N3)-1</f>
        <v>51135</v>
      </c>
      <c r="Q3" s="1">
        <v>450000</v>
      </c>
      <c r="R3" s="3">
        <v>4.4999999999999998E-2</v>
      </c>
      <c r="S3" s="1">
        <f t="shared" ref="S3:S6" si="1">Q3 * R3</f>
        <v>20250</v>
      </c>
      <c r="T3" s="1">
        <v>0</v>
      </c>
      <c r="U3" s="1" t="s">
        <v>99</v>
      </c>
      <c r="V3" s="1" t="s">
        <v>100</v>
      </c>
      <c r="W3" s="1" t="s">
        <v>101</v>
      </c>
      <c r="X3" s="1" t="s">
        <v>115</v>
      </c>
      <c r="Y3" s="1" t="s">
        <v>102</v>
      </c>
      <c r="Z3" s="1" t="s">
        <v>103</v>
      </c>
      <c r="AA3" s="1" t="s">
        <v>104</v>
      </c>
      <c r="AB3" s="1" t="s">
        <v>116</v>
      </c>
      <c r="AC3" s="1">
        <f ca="1">SUMIFS(Revenue!AT:AT, Revenue!F:F, A3, Revenue!D:D, "Active")</f>
        <v>100</v>
      </c>
      <c r="AD3" s="1">
        <f t="shared" ref="AD3:AD6" ca="1" si="2">H3 - AC3</f>
        <v>0</v>
      </c>
      <c r="AE3" s="1" t="str">
        <f t="shared" ref="AE3:AE6" ca="1" si="3">IF(P3="", "", IF(P3 &lt; TODAY(), "Expired", IF(P3 - TODAY() &lt; 180, "⚠️ Renew Soon (&lt;6m)", "OK")))</f>
        <v>OK</v>
      </c>
      <c r="AF3" s="1" t="str">
        <f t="shared" ref="AF3:AF6" ca="1" si="4">IF(OR(O3="", P3=""), "Draft", IF(TODAY() &gt; P3, "Expired", IF(AD3 &lt;= 0, "Sold Out", "Available")))</f>
        <v>Sold Out</v>
      </c>
      <c r="AG3" s="1" t="str" cm="1">
        <f t="array" aca="1" ref="AG3" ca="1">_xlfn.TEXTJOIN(", ", TRUE, _xlfn._xlws.FILTER(Revenue!B:B, (Revenue!F:F=A3)*(Revenue!D:D="Active"), ""))</f>
        <v>Google</v>
      </c>
      <c r="AH3" s="1" t="str" cm="1">
        <f t="array" aca="1" ref="AH3" ca="1">_xlfn.TEXTJOIN(", ", TRUE, _xlfn._xlws.FILTER(Revenue!A:A, (Revenue!F:F=A3)*(Revenue!D:D="Active"), ""))</f>
        <v>SO-SWAP-001</v>
      </c>
    </row>
    <row r="4" spans="1:34" x14ac:dyDescent="0.35">
      <c r="A4" s="1" t="s">
        <v>117</v>
      </c>
      <c r="B4" s="1" t="s">
        <v>2</v>
      </c>
      <c r="C4" s="1" t="s">
        <v>118</v>
      </c>
      <c r="D4" s="1" t="s">
        <v>43</v>
      </c>
      <c r="E4" s="1" t="s">
        <v>119</v>
      </c>
      <c r="F4" s="1" t="s">
        <v>33</v>
      </c>
      <c r="G4" s="1" t="s">
        <v>120</v>
      </c>
      <c r="H4" s="1">
        <v>100</v>
      </c>
      <c r="I4" s="2" t="s">
        <v>11</v>
      </c>
      <c r="J4" s="2" t="s">
        <v>98</v>
      </c>
      <c r="K4" s="1" t="s">
        <v>121</v>
      </c>
      <c r="L4" s="1" t="s">
        <v>80</v>
      </c>
      <c r="M4" s="4" t="s">
        <v>16</v>
      </c>
      <c r="N4" s="1">
        <v>180</v>
      </c>
      <c r="O4" s="2">
        <v>45809</v>
      </c>
      <c r="P4" s="2">
        <f t="shared" si="0"/>
        <v>51287</v>
      </c>
      <c r="Q4" s="1">
        <v>0</v>
      </c>
      <c r="R4" s="3">
        <v>0</v>
      </c>
      <c r="S4" s="1">
        <f t="shared" si="1"/>
        <v>0</v>
      </c>
      <c r="T4" s="1">
        <v>0</v>
      </c>
      <c r="U4" s="1" t="s">
        <v>107</v>
      </c>
      <c r="V4" s="1" t="s">
        <v>108</v>
      </c>
      <c r="W4" s="1" t="s">
        <v>77</v>
      </c>
      <c r="X4" s="1" t="s">
        <v>122</v>
      </c>
      <c r="Y4" s="1" t="s">
        <v>123</v>
      </c>
      <c r="Z4" s="1" t="s">
        <v>124</v>
      </c>
      <c r="AA4" s="1" t="s">
        <v>86</v>
      </c>
      <c r="AB4" s="1" t="s">
        <v>125</v>
      </c>
      <c r="AC4" s="1">
        <f>SUMIFS(Revenue!AT:AT, Revenue!F:F, A4, Revenue!D:D, "Active")</f>
        <v>0</v>
      </c>
      <c r="AD4" s="1">
        <f t="shared" si="2"/>
        <v>100</v>
      </c>
      <c r="AE4" s="1" t="str">
        <f t="shared" ca="1" si="3"/>
        <v>OK</v>
      </c>
      <c r="AF4" s="1" t="str">
        <f t="shared" ca="1" si="4"/>
        <v>Available</v>
      </c>
      <c r="AG4" s="1" t="str" cm="1">
        <f t="array" aca="1" ref="AG4" ca="1">_xlfn.TEXTJOIN(", ", TRUE, _xlfn._xlws.FILTER(Revenue!B:B, (Revenue!F:F=A4)*(Revenue!D:D="Active"), ""))</f>
        <v/>
      </c>
      <c r="AH4" s="1" t="str" cm="1">
        <f t="array" aca="1" ref="AH4" ca="1">_xlfn.TEXTJOIN(", ", TRUE, _xlfn._xlws.FILTER(Revenue!A:A, (Revenue!F:F=A4)*(Revenue!D:D="Active"), ""))</f>
        <v/>
      </c>
    </row>
    <row r="5" spans="1:34" x14ac:dyDescent="0.35">
      <c r="A5" s="1" t="s">
        <v>126</v>
      </c>
      <c r="B5" s="1" t="s">
        <v>3</v>
      </c>
      <c r="C5" s="1" t="s">
        <v>127</v>
      </c>
      <c r="D5" s="1" t="s">
        <v>34</v>
      </c>
      <c r="E5" s="1" t="s">
        <v>105</v>
      </c>
      <c r="F5" s="1" t="s">
        <v>33</v>
      </c>
      <c r="G5" s="1" t="s">
        <v>106</v>
      </c>
      <c r="H5" s="1">
        <v>100</v>
      </c>
      <c r="I5" s="1" t="s">
        <v>11</v>
      </c>
      <c r="J5" s="1" t="s">
        <v>13</v>
      </c>
      <c r="K5" s="1" t="s">
        <v>111</v>
      </c>
      <c r="L5" s="1" t="s">
        <v>90</v>
      </c>
      <c r="M5" s="1" t="s">
        <v>35</v>
      </c>
      <c r="N5" s="1">
        <v>12</v>
      </c>
      <c r="O5" s="2">
        <v>45717</v>
      </c>
      <c r="P5" s="2">
        <f t="shared" si="0"/>
        <v>46081</v>
      </c>
      <c r="Q5" s="1">
        <v>2000</v>
      </c>
      <c r="R5" s="3">
        <v>0</v>
      </c>
      <c r="S5" s="1">
        <f t="shared" si="1"/>
        <v>0</v>
      </c>
      <c r="T5" s="1">
        <v>3500</v>
      </c>
      <c r="U5" s="1" t="s">
        <v>107</v>
      </c>
      <c r="V5" s="1" t="s">
        <v>108</v>
      </c>
      <c r="W5" s="1" t="s">
        <v>77</v>
      </c>
      <c r="X5" s="1" t="s">
        <v>128</v>
      </c>
      <c r="Y5" s="1" t="s">
        <v>99</v>
      </c>
      <c r="Z5" s="1" t="s">
        <v>100</v>
      </c>
      <c r="AA5" s="1" t="s">
        <v>101</v>
      </c>
      <c r="AB5" s="1" t="s">
        <v>129</v>
      </c>
      <c r="AC5" s="1">
        <f ca="1">SUMIFS(Revenue!AT:AT, Revenue!F:F, A5, Revenue!D:D, "Active")</f>
        <v>10</v>
      </c>
      <c r="AD5" s="1">
        <f t="shared" ca="1" si="2"/>
        <v>90</v>
      </c>
      <c r="AE5" s="1" t="str">
        <f t="shared" ca="1" si="3"/>
        <v>⚠️ Renew Soon (&lt;6m)</v>
      </c>
      <c r="AF5" s="1" t="str">
        <f t="shared" ca="1" si="4"/>
        <v>Available</v>
      </c>
      <c r="AG5" s="1" t="str" cm="1">
        <f t="array" aca="1" ref="AG5" ca="1">_xlfn.TEXTJOIN(", ", TRUE, _xlfn._xlws.FILTER(Revenue!B:B, (Revenue!F:F=A5)*(Revenue!D:D="Active"), ""))</f>
        <v>Google</v>
      </c>
      <c r="AH5" s="1" t="str" cm="1">
        <f t="array" aca="1" ref="AH5" ca="1">_xlfn.TEXTJOIN(", ", TRUE, _xlfn._xlws.FILTER(Revenue!A:A, (Revenue!F:F=A5)*(Revenue!D:D="Active"), ""))</f>
        <v>SO-2025-002</v>
      </c>
    </row>
    <row r="6" spans="1:34" x14ac:dyDescent="0.35">
      <c r="A6" s="1" t="s">
        <v>130</v>
      </c>
      <c r="B6" s="1" t="s">
        <v>3</v>
      </c>
      <c r="C6" s="1" t="s">
        <v>131</v>
      </c>
      <c r="D6" s="1" t="s">
        <v>136</v>
      </c>
      <c r="E6" s="1" t="s">
        <v>132</v>
      </c>
      <c r="F6" s="1" t="s">
        <v>7</v>
      </c>
      <c r="G6" s="1" t="s">
        <v>133</v>
      </c>
      <c r="H6" s="1">
        <v>12000</v>
      </c>
      <c r="I6" s="1" t="s">
        <v>177</v>
      </c>
      <c r="J6" s="1" t="s">
        <v>13</v>
      </c>
      <c r="K6" s="1" t="s">
        <v>111</v>
      </c>
      <c r="L6" s="1" t="s">
        <v>89</v>
      </c>
      <c r="M6" s="1" t="s">
        <v>16</v>
      </c>
      <c r="N6" s="1">
        <v>240</v>
      </c>
      <c r="O6" s="2">
        <v>46023</v>
      </c>
      <c r="P6" s="2">
        <f t="shared" si="0"/>
        <v>53327</v>
      </c>
      <c r="Q6" s="1">
        <v>2000000</v>
      </c>
      <c r="R6" s="3">
        <v>0.03</v>
      </c>
      <c r="S6" s="1">
        <f t="shared" si="1"/>
        <v>60000</v>
      </c>
      <c r="T6" s="1">
        <v>0</v>
      </c>
      <c r="U6" s="1" t="s">
        <v>99</v>
      </c>
      <c r="V6" s="1" t="s">
        <v>100</v>
      </c>
      <c r="W6" s="1" t="s">
        <v>101</v>
      </c>
      <c r="X6" s="1" t="s">
        <v>134</v>
      </c>
      <c r="Y6" s="1" t="s">
        <v>107</v>
      </c>
      <c r="Z6" s="1" t="s">
        <v>108</v>
      </c>
      <c r="AA6" s="1" t="s">
        <v>135</v>
      </c>
      <c r="AB6" s="1" t="s">
        <v>134</v>
      </c>
      <c r="AC6" s="1">
        <f ca="1">SUMIFS(Revenue!AT:AT, Revenue!F:F, A6, Revenue!D:D, "Active")</f>
        <v>100</v>
      </c>
      <c r="AD6" s="1">
        <f t="shared" ca="1" si="2"/>
        <v>11900</v>
      </c>
      <c r="AE6" s="1" t="str">
        <f t="shared" ca="1" si="3"/>
        <v>OK</v>
      </c>
      <c r="AF6" s="1" t="str">
        <f t="shared" ca="1" si="4"/>
        <v>Available</v>
      </c>
      <c r="AG6" s="1" t="str" cm="1">
        <f t="array" aca="1" ref="AG6" ca="1">_xlfn.TEXTJOIN(", ", TRUE, _xlfn._xlws.FILTER(Revenue!B:B, (Revenue!F:F=A6)*(Revenue!D:D="Active"), ""))</f>
        <v>Microsoft</v>
      </c>
      <c r="AH6" s="1" t="str" cm="1">
        <f t="array" aca="1" ref="AH6" ca="1">_xlfn.TEXTJOIN(", ", TRUE, _xlfn._xlws.FILTER(Revenue!A:A, (Revenue!F:F=A6)*(Revenue!D:D="Active"), ""))</f>
        <v>SO-2026-001</v>
      </c>
    </row>
  </sheetData>
  <phoneticPr fontId="1" type="noConversion"/>
  <conditionalFormatting sqref="AE2:AE6">
    <cfRule type="containsText" dxfId="3" priority="1" operator="containsText" text="Expired">
      <formula>NOT(ISERROR(SEARCH("Expired",AE2)))</formula>
    </cfRule>
    <cfRule type="containsText" dxfId="2" priority="2" operator="containsText" text="Soon">
      <formula>NOT(ISERROR(SEARCH("Soon",AE2)))</formula>
    </cfRule>
  </conditionalFormatting>
  <dataValidations count="5">
    <dataValidation type="list" allowBlank="1" showInputMessage="1" showErrorMessage="1" sqref="B2:B24" xr:uid="{0AA16CEA-286F-174A-AF55-6FE63FAA51A3}">
      <formula1>"Purchased, Swapped In"</formula1>
    </dataValidation>
    <dataValidation type="list" allowBlank="1" showInputMessage="1" showErrorMessage="1" sqref="F2:F20" xr:uid="{D36E4922-BA97-0F47-988D-35DD71602FF2}">
      <formula1>"Fiber Pair, Capacity, Spectrum, Backhaul"</formula1>
    </dataValidation>
    <dataValidation type="list" allowBlank="1" showInputMessage="1" showErrorMessage="1" sqref="I2:I6" xr:uid="{09362325-1986-0543-B813-889974EC57CF}">
      <formula1>"Gbps, Tbps, Fiber Pair, Ghz,Half Fiber Pair"</formula1>
    </dataValidation>
    <dataValidation type="list" allowBlank="1" showInputMessage="1" showErrorMessage="1" sqref="J2:J6" xr:uid="{4C729DA5-809A-FD4A-8B9B-E0A0FABE2676}">
      <formula1>"Protected, Unprotected"</formula1>
    </dataValidation>
    <dataValidation type="list" allowBlank="1" showInputMessage="1" showErrorMessage="1" sqref="M2:M4" xr:uid="{DD9268A6-9B6A-024D-8892-FF32421E7A10}">
      <formula1>"Lease, IRU, O&amp;M Only"</formula1>
    </dataValidation>
  </dataValidations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D68C3-877F-1441-9619-01053A6776EE}">
  <dimension ref="A1:AZ21"/>
  <sheetViews>
    <sheetView workbookViewId="0">
      <pane xSplit="6" ySplit="1" topLeftCell="G2" activePane="bottomRight" state="frozen"/>
      <selection pane="topRight" activeCell="F1" sqref="F1"/>
      <selection pane="bottomLeft" activeCell="A2" sqref="A2"/>
      <selection pane="bottomRight" activeCell="AW8" activeCellId="1" sqref="AW2 AW8"/>
    </sheetView>
  </sheetViews>
  <sheetFormatPr defaultColWidth="10.84375" defaultRowHeight="15.5" outlineLevelCol="1" x14ac:dyDescent="0.35"/>
  <cols>
    <col min="1" max="1" width="15.3046875" style="1" bestFit="1" customWidth="1"/>
    <col min="2" max="2" width="38" style="1" bestFit="1" customWidth="1"/>
    <col min="3" max="3" width="15" style="1" bestFit="1" customWidth="1"/>
    <col min="4" max="4" width="14.69140625" style="1" customWidth="1"/>
    <col min="5" max="5" width="11.15234375" style="1" bestFit="1" customWidth="1"/>
    <col min="6" max="6" width="16.4609375" style="1" bestFit="1" customWidth="1"/>
    <col min="7" max="8" width="16.4609375" style="1" customWidth="1"/>
    <col min="9" max="9" width="12.84375" style="1" bestFit="1" customWidth="1"/>
    <col min="10" max="11" width="16.4609375" style="1" customWidth="1"/>
    <col min="12" max="13" width="10.84375" style="1"/>
    <col min="14" max="14" width="16.15234375" style="1" bestFit="1" customWidth="1"/>
    <col min="15" max="15" width="13.15234375" style="1" bestFit="1" customWidth="1"/>
    <col min="16" max="16" width="11.3046875" style="1" bestFit="1" customWidth="1"/>
    <col min="17" max="17" width="35.3046875" style="1" customWidth="1"/>
    <col min="18" max="19" width="20.3046875" style="1" hidden="1" customWidth="1" outlineLevel="1"/>
    <col min="20" max="23" width="16.765625" style="1" hidden="1" customWidth="1" outlineLevel="1"/>
    <col min="24" max="24" width="16.765625" style="1" bestFit="1" customWidth="1" collapsed="1"/>
    <col min="25" max="25" width="20.3046875" style="1" customWidth="1" outlineLevel="1"/>
    <col min="26" max="27" width="17.69140625" style="1" customWidth="1" outlineLevel="1"/>
    <col min="28" max="28" width="14.3046875" style="1" bestFit="1" customWidth="1"/>
    <col min="29" max="31" width="17.69140625" style="1" hidden="1" customWidth="1" outlineLevel="1"/>
    <col min="32" max="32" width="17.69140625" style="1" customWidth="1" collapsed="1"/>
    <col min="33" max="33" width="17.69140625" style="1" hidden="1" customWidth="1" outlineLevel="1"/>
    <col min="34" max="35" width="20.15234375" style="1" hidden="1" customWidth="1" outlineLevel="1"/>
    <col min="36" max="36" width="16.4609375" style="1" bestFit="1" customWidth="1" collapsed="1"/>
    <col min="37" max="37" width="20.15234375" style="1" hidden="1" customWidth="1" outlineLevel="1"/>
    <col min="38" max="39" width="20" style="1" hidden="1" customWidth="1" outlineLevel="1"/>
    <col min="40" max="40" width="16.3046875" style="1" bestFit="1" customWidth="1" collapsed="1"/>
    <col min="41" max="41" width="20" style="1" customWidth="1" outlineLevel="1"/>
    <col min="42" max="42" width="17.4609375" style="1" customWidth="1" outlineLevel="1"/>
    <col min="43" max="43" width="23.15234375" style="1" bestFit="1" customWidth="1"/>
    <col min="44" max="44" width="16.84375" style="1" bestFit="1" customWidth="1"/>
    <col min="45" max="45" width="16.4609375" style="1" bestFit="1" customWidth="1"/>
    <col min="46" max="46" width="14.3046875" style="1" bestFit="1" customWidth="1"/>
    <col min="47" max="47" width="19.53515625" style="1" bestFit="1" customWidth="1"/>
    <col min="48" max="48" width="19.15234375" style="1" bestFit="1" customWidth="1"/>
    <col min="49" max="49" width="16.84375" style="1" bestFit="1" customWidth="1"/>
    <col min="50" max="51" width="10.84375" style="1"/>
    <col min="52" max="52" width="18.3828125" style="1" bestFit="1" customWidth="1"/>
    <col min="53" max="16384" width="10.84375" style="1"/>
  </cols>
  <sheetData>
    <row r="1" spans="1:52" x14ac:dyDescent="0.35">
      <c r="A1" s="7" t="s">
        <v>38</v>
      </c>
      <c r="B1" s="7" t="s">
        <v>39</v>
      </c>
      <c r="C1" s="7" t="s">
        <v>178</v>
      </c>
      <c r="D1" s="7" t="s">
        <v>40</v>
      </c>
      <c r="E1" s="7" t="s">
        <v>41</v>
      </c>
      <c r="F1" s="7" t="s">
        <v>42</v>
      </c>
      <c r="G1" s="7" t="s">
        <v>64</v>
      </c>
      <c r="H1" s="7" t="s">
        <v>65</v>
      </c>
      <c r="I1" s="7" t="s">
        <v>37</v>
      </c>
      <c r="J1" s="7" t="s">
        <v>17</v>
      </c>
      <c r="K1" s="7" t="s">
        <v>18</v>
      </c>
      <c r="L1" s="7" t="s">
        <v>44</v>
      </c>
      <c r="M1" s="7" t="s">
        <v>45</v>
      </c>
      <c r="N1" s="7" t="s">
        <v>47</v>
      </c>
      <c r="O1" s="7" t="s">
        <v>46</v>
      </c>
      <c r="P1" s="7" t="s">
        <v>48</v>
      </c>
      <c r="Q1" s="7" t="s">
        <v>66</v>
      </c>
      <c r="R1" s="7" t="s">
        <v>160</v>
      </c>
      <c r="S1" s="7" t="s">
        <v>49</v>
      </c>
      <c r="T1" s="7" t="s">
        <v>210</v>
      </c>
      <c r="U1" s="7" t="s">
        <v>211</v>
      </c>
      <c r="V1" s="7" t="s">
        <v>212</v>
      </c>
      <c r="W1" s="7" t="s">
        <v>213</v>
      </c>
      <c r="X1" s="7" t="s">
        <v>209</v>
      </c>
      <c r="Y1" s="7" t="s">
        <v>67</v>
      </c>
      <c r="Z1" s="7" t="s">
        <v>69</v>
      </c>
      <c r="AA1" s="7" t="s">
        <v>214</v>
      </c>
      <c r="AB1" s="7" t="s">
        <v>68</v>
      </c>
      <c r="AC1" s="7" t="s">
        <v>70</v>
      </c>
      <c r="AD1" s="7" t="s">
        <v>73</v>
      </c>
      <c r="AE1" s="7" t="s">
        <v>215</v>
      </c>
      <c r="AF1" s="7" t="s">
        <v>71</v>
      </c>
      <c r="AG1" s="7" t="s">
        <v>72</v>
      </c>
      <c r="AH1" s="7" t="s">
        <v>51</v>
      </c>
      <c r="AI1" s="7" t="s">
        <v>216</v>
      </c>
      <c r="AJ1" s="7" t="s">
        <v>50</v>
      </c>
      <c r="AK1" s="7" t="s">
        <v>74</v>
      </c>
      <c r="AL1" s="7" t="s">
        <v>53</v>
      </c>
      <c r="AM1" s="7" t="s">
        <v>217</v>
      </c>
      <c r="AN1" s="7" t="s">
        <v>52</v>
      </c>
      <c r="AO1" s="8" t="s">
        <v>75</v>
      </c>
      <c r="AP1" s="7" t="s">
        <v>55</v>
      </c>
      <c r="AQ1" s="7" t="s">
        <v>54</v>
      </c>
      <c r="AR1" s="7" t="s">
        <v>56</v>
      </c>
      <c r="AS1" s="7" t="s">
        <v>57</v>
      </c>
      <c r="AT1" s="7" t="s">
        <v>58</v>
      </c>
      <c r="AU1" s="7" t="s">
        <v>59</v>
      </c>
      <c r="AV1" s="7" t="s">
        <v>60</v>
      </c>
      <c r="AW1" s="7" t="s">
        <v>61</v>
      </c>
      <c r="AX1" s="7" t="s">
        <v>62</v>
      </c>
      <c r="AY1" s="7" t="s">
        <v>63</v>
      </c>
      <c r="AZ1" s="8" t="s">
        <v>176</v>
      </c>
    </row>
    <row r="2" spans="1:52" x14ac:dyDescent="0.35">
      <c r="A2" s="1" t="s">
        <v>138</v>
      </c>
      <c r="B2" s="1" t="s">
        <v>139</v>
      </c>
      <c r="C2" s="1" t="s">
        <v>179</v>
      </c>
      <c r="D2" s="1" t="str">
        <f ca="1">IF(OR(J2="", K2=""), "", IF(TODAY() &gt; K2, "Expired", IF(TODAY() &lt; J2, "Pending", "Active")))</f>
        <v>Active</v>
      </c>
      <c r="E2" s="1" t="s">
        <v>168</v>
      </c>
      <c r="F2" s="1" t="s">
        <v>130</v>
      </c>
      <c r="G2" s="1" t="s">
        <v>140</v>
      </c>
      <c r="H2" s="1" t="s">
        <v>141</v>
      </c>
      <c r="I2" s="1">
        <v>36</v>
      </c>
      <c r="J2" s="2">
        <v>45658</v>
      </c>
      <c r="K2" s="2">
        <f>EDATE(J2, I2)-1</f>
        <v>46752</v>
      </c>
      <c r="L2" s="26">
        <v>5000</v>
      </c>
      <c r="M2" s="26">
        <v>45000</v>
      </c>
      <c r="N2" s="4">
        <v>0</v>
      </c>
      <c r="O2" s="26">
        <f>L2 * N2</f>
        <v>0</v>
      </c>
      <c r="P2" s="26">
        <f>M2 + O2/12</f>
        <v>45000</v>
      </c>
      <c r="T2" s="26" t="s">
        <v>16</v>
      </c>
      <c r="U2"/>
      <c r="V2"/>
      <c r="W2"/>
      <c r="X2" s="26">
        <v>0</v>
      </c>
      <c r="AB2" s="26">
        <v>0</v>
      </c>
      <c r="AF2" s="26">
        <v>0</v>
      </c>
      <c r="AG2" s="1" t="s">
        <v>84</v>
      </c>
      <c r="AH2" s="1" t="s">
        <v>142</v>
      </c>
      <c r="AJ2" s="26">
        <v>200</v>
      </c>
      <c r="AK2" s="1" t="s">
        <v>91</v>
      </c>
      <c r="AL2" s="1" t="s">
        <v>143</v>
      </c>
      <c r="AN2" s="26">
        <v>200</v>
      </c>
      <c r="AQ2" s="26">
        <v>0</v>
      </c>
      <c r="AR2" s="26">
        <f>IF(T2="IRU", (X2/IF(U2="",1,U2)) + V2/12, X2) + AB2 + AF2 + AJ2 + AN2</f>
        <v>400</v>
      </c>
      <c r="AS2" s="26">
        <f>SUM(W2, AA2, AE2, AI2, AM2, AQ2)</f>
        <v>0</v>
      </c>
      <c r="AT2" s="1">
        <v>100</v>
      </c>
      <c r="AU2" s="5" cm="1">
        <f t="array" ref="AU2">IF(F2="", 0, IFERROR(_xlfn.XLOOKUP(F2, Inventory!A:A, (Inventory!S:S/12 + Inventory!T:T + Inventory!Q:Q/Inventory!N:N) / Inventory!H:H) * AT2, 0))</f>
        <v>111.11111111111111</v>
      </c>
      <c r="AV2" s="5">
        <f>AR2 + AU2</f>
        <v>511.11111111111109</v>
      </c>
      <c r="AW2" s="5">
        <f t="shared" ref="AW2:AW8" si="0">P2 - AV2</f>
        <v>44488.888888888891</v>
      </c>
      <c r="AX2" s="3">
        <f t="shared" ref="AX2:AX8" si="1">IF(P2=0, 0, AW2/P2)</f>
        <v>0.98864197530864206</v>
      </c>
      <c r="AY2" s="26">
        <f t="shared" ref="AY2:AY8" si="2">L2 - AS2</f>
        <v>5000</v>
      </c>
      <c r="AZ2" s="1" t="str">
        <f ca="1">IF(OR(D2&lt;&gt;"Active", K2=""), "", IF(K2 &lt; TODAY(), "Expired", IF(K2 - TODAY() &lt; 90, "🔥 Renew Now (&lt;3m)", IF(K2 - TODAY() &lt; 180, "⚠️ Plan Renewal (&lt;6m)", "OK"))))</f>
        <v>OK</v>
      </c>
    </row>
    <row r="3" spans="1:52" x14ac:dyDescent="0.35">
      <c r="A3" s="1" t="s">
        <v>144</v>
      </c>
      <c r="B3" s="1" t="s">
        <v>145</v>
      </c>
      <c r="C3" s="1" t="s">
        <v>179</v>
      </c>
      <c r="D3" s="1" t="str">
        <f t="shared" ref="D3:D8" ca="1" si="3">IF(OR(J3="", K3=""), "", IF(TODAY() &gt; K3, "Expired", IF(TODAY() &lt; J3, "Pending", "Active")))</f>
        <v>Pending</v>
      </c>
      <c r="E3" s="1" t="s">
        <v>168</v>
      </c>
      <c r="F3" s="1" t="s">
        <v>130</v>
      </c>
      <c r="G3" s="1" t="s">
        <v>140</v>
      </c>
      <c r="H3" s="1" t="s">
        <v>141</v>
      </c>
      <c r="I3" s="1">
        <v>12</v>
      </c>
      <c r="J3" s="2">
        <v>46204</v>
      </c>
      <c r="K3" s="2">
        <f t="shared" ref="K3:K8" si="4">EDATE(J3, I3)-1</f>
        <v>46568</v>
      </c>
      <c r="L3" s="26">
        <v>2000</v>
      </c>
      <c r="M3" s="26">
        <v>1500</v>
      </c>
      <c r="N3" s="4">
        <v>0</v>
      </c>
      <c r="O3" s="26">
        <f t="shared" ref="O3:O8" si="5">L3 * N3</f>
        <v>0</v>
      </c>
      <c r="P3" s="26">
        <f t="shared" ref="P3:P8" si="6">M3 + O3/12</f>
        <v>1500</v>
      </c>
      <c r="T3" s="26" t="s">
        <v>16</v>
      </c>
      <c r="U3"/>
      <c r="V3"/>
      <c r="W3"/>
      <c r="X3" s="26">
        <v>0</v>
      </c>
      <c r="AB3" s="26">
        <v>0</v>
      </c>
      <c r="AF3" s="26">
        <v>0</v>
      </c>
      <c r="AG3" s="1" t="s">
        <v>84</v>
      </c>
      <c r="AH3" s="1" t="s">
        <v>146</v>
      </c>
      <c r="AJ3" s="26">
        <v>200</v>
      </c>
      <c r="AK3" s="1" t="s">
        <v>91</v>
      </c>
      <c r="AL3" s="1" t="s">
        <v>147</v>
      </c>
      <c r="AN3" s="26">
        <v>200</v>
      </c>
      <c r="AQ3" s="26">
        <v>0</v>
      </c>
      <c r="AR3" s="26">
        <f t="shared" ref="AR3:AR7" si="7">IF(T3="IRU", (X3/IF(U3="",1,U3)) + V3/12, X3) + AB3 + AF3 + AJ3 + AN3</f>
        <v>400</v>
      </c>
      <c r="AS3" s="26">
        <f t="shared" ref="AS3:AS7" si="8">SUM(W3, AA3, AE3, AI3, AM3, AQ3)</f>
        <v>0</v>
      </c>
      <c r="AT3" s="1">
        <v>10</v>
      </c>
      <c r="AU3" s="5" cm="1">
        <f t="array" ref="AU3">IF(F3="", 0, IFERROR(_xlfn.XLOOKUP(F3, Inventory!A:A, (Inventory!S:S/12 + Inventory!T:T + Inventory!Q:Q/Inventory!N:N) / Inventory!H:H) * AT3, 0))</f>
        <v>11.111111111111111</v>
      </c>
      <c r="AV3" s="5">
        <f t="shared" ref="AV3:AV8" si="9">AR3 + AU3</f>
        <v>411.11111111111109</v>
      </c>
      <c r="AW3" s="5">
        <f t="shared" si="0"/>
        <v>1088.8888888888889</v>
      </c>
      <c r="AX3" s="3">
        <f t="shared" si="1"/>
        <v>0.72592592592592597</v>
      </c>
      <c r="AY3" s="26">
        <f t="shared" si="2"/>
        <v>2000</v>
      </c>
      <c r="AZ3" s="1" t="str">
        <f t="shared" ref="AZ3:AZ8" ca="1" si="10">IF(OR(D3&lt;&gt;"Active", K3=""), "", IF(K3 &lt; TODAY(), "Expired", IF(K3 - TODAY() &lt; 90, "🔥 Renew Now (&lt;3m)", IF(K3 - TODAY() &lt; 180, "⚠️ Plan Renewal (&lt;6m)", "OK"))))</f>
        <v/>
      </c>
    </row>
    <row r="4" spans="1:52" x14ac:dyDescent="0.35">
      <c r="A4" s="1" t="s">
        <v>148</v>
      </c>
      <c r="B4" s="1" t="s">
        <v>89</v>
      </c>
      <c r="C4" s="1" t="s">
        <v>180</v>
      </c>
      <c r="D4" s="1" t="str">
        <f t="shared" ca="1" si="3"/>
        <v>Active</v>
      </c>
      <c r="E4" s="1" t="s">
        <v>168</v>
      </c>
      <c r="F4" s="1" t="s">
        <v>126</v>
      </c>
      <c r="G4" s="1" t="s">
        <v>149</v>
      </c>
      <c r="H4" s="1" t="s">
        <v>150</v>
      </c>
      <c r="I4" s="1">
        <v>24</v>
      </c>
      <c r="J4" s="2">
        <v>45748</v>
      </c>
      <c r="K4" s="2">
        <f t="shared" si="4"/>
        <v>46477</v>
      </c>
      <c r="L4" s="26">
        <v>1000</v>
      </c>
      <c r="M4" s="26">
        <v>1500</v>
      </c>
      <c r="N4" s="4">
        <v>0</v>
      </c>
      <c r="O4" s="26">
        <f t="shared" si="5"/>
        <v>0</v>
      </c>
      <c r="P4" s="26">
        <f t="shared" si="6"/>
        <v>1500</v>
      </c>
      <c r="T4" s="26" t="s">
        <v>16</v>
      </c>
      <c r="U4"/>
      <c r="V4"/>
      <c r="W4"/>
      <c r="X4" s="26">
        <v>0</v>
      </c>
      <c r="AB4" s="26">
        <v>0</v>
      </c>
      <c r="AF4" s="26">
        <v>0</v>
      </c>
      <c r="AG4" s="1" t="s">
        <v>84</v>
      </c>
      <c r="AH4" s="1" t="s">
        <v>151</v>
      </c>
      <c r="AJ4" s="26">
        <v>200</v>
      </c>
      <c r="AK4" s="1" t="s">
        <v>90</v>
      </c>
      <c r="AL4" s="1" t="s">
        <v>152</v>
      </c>
      <c r="AN4" s="26">
        <v>200</v>
      </c>
      <c r="AQ4" s="26">
        <v>0</v>
      </c>
      <c r="AR4" s="26">
        <f t="shared" si="7"/>
        <v>400</v>
      </c>
      <c r="AS4" s="26">
        <f t="shared" si="8"/>
        <v>0</v>
      </c>
      <c r="AT4" s="1">
        <v>10</v>
      </c>
      <c r="AU4" s="5" cm="1">
        <f t="array" ref="AU4">IF(F4="", 0, IFERROR(_xlfn.XLOOKUP(F4, Inventory!A:A, (Inventory!S:S/12 + Inventory!T:T + Inventory!Q:Q/Inventory!N:N) / Inventory!H:H) * AT4, 0))</f>
        <v>366.66666666666663</v>
      </c>
      <c r="AV4" s="5">
        <f t="shared" si="9"/>
        <v>766.66666666666663</v>
      </c>
      <c r="AW4" s="5">
        <f t="shared" si="0"/>
        <v>733.33333333333337</v>
      </c>
      <c r="AX4" s="3">
        <f t="shared" si="1"/>
        <v>0.48888888888888893</v>
      </c>
      <c r="AY4" s="26">
        <f t="shared" si="2"/>
        <v>1000</v>
      </c>
      <c r="AZ4" s="1" t="str">
        <f t="shared" ca="1" si="10"/>
        <v>OK</v>
      </c>
    </row>
    <row r="5" spans="1:52" x14ac:dyDescent="0.35">
      <c r="A5" s="1" t="s">
        <v>153</v>
      </c>
      <c r="B5" s="1" t="s">
        <v>92</v>
      </c>
      <c r="C5" s="1" t="s">
        <v>180</v>
      </c>
      <c r="D5" s="1" t="str">
        <f t="shared" ca="1" si="3"/>
        <v>Active</v>
      </c>
      <c r="E5" s="1" t="s">
        <v>169</v>
      </c>
      <c r="F5" s="1" t="s">
        <v>110</v>
      </c>
      <c r="G5" s="1" t="s">
        <v>150</v>
      </c>
      <c r="H5" s="1" t="s">
        <v>154</v>
      </c>
      <c r="I5" s="1">
        <v>36</v>
      </c>
      <c r="J5" s="2">
        <v>45658</v>
      </c>
      <c r="K5" s="2">
        <f t="shared" si="4"/>
        <v>46752</v>
      </c>
      <c r="L5" s="26">
        <v>5000</v>
      </c>
      <c r="M5" s="26">
        <v>4000</v>
      </c>
      <c r="N5" s="4">
        <v>0.05</v>
      </c>
      <c r="O5" s="26">
        <f t="shared" si="5"/>
        <v>250</v>
      </c>
      <c r="P5" s="26">
        <f t="shared" si="6"/>
        <v>4020.8333333333335</v>
      </c>
      <c r="Q5" s="1" t="s">
        <v>93</v>
      </c>
      <c r="R5" s="1" t="s">
        <v>161</v>
      </c>
      <c r="S5" s="1" t="s">
        <v>162</v>
      </c>
      <c r="T5" s="26" t="s">
        <v>16</v>
      </c>
      <c r="U5"/>
      <c r="V5"/>
      <c r="W5"/>
      <c r="X5" s="26">
        <v>1500</v>
      </c>
      <c r="AB5" s="26">
        <v>0</v>
      </c>
      <c r="AF5" s="26">
        <v>0</v>
      </c>
      <c r="AG5" s="1" t="s">
        <v>90</v>
      </c>
      <c r="AH5" s="1" t="s">
        <v>155</v>
      </c>
      <c r="AJ5" s="26">
        <v>200</v>
      </c>
      <c r="AK5" s="1" t="s">
        <v>94</v>
      </c>
      <c r="AL5" s="1" t="s">
        <v>156</v>
      </c>
      <c r="AN5" s="26">
        <v>200</v>
      </c>
      <c r="AQ5" s="26">
        <v>0</v>
      </c>
      <c r="AR5" s="26">
        <f t="shared" si="7"/>
        <v>1900</v>
      </c>
      <c r="AS5" s="26">
        <f t="shared" si="8"/>
        <v>0</v>
      </c>
      <c r="AT5" s="1">
        <v>20</v>
      </c>
      <c r="AU5" s="5" cm="1">
        <f t="array" ref="AU5">IF(F5="", 0, IFERROR(_xlfn.XLOOKUP(F5, Inventory!A:A, (Inventory!S:S/12 + Inventory!T:T + Inventory!Q:Q/Inventory!N:N) / Inventory!H:H) * AT5, 0))</f>
        <v>837.5</v>
      </c>
      <c r="AV5" s="5">
        <f t="shared" si="9"/>
        <v>2737.5</v>
      </c>
      <c r="AW5" s="5">
        <f t="shared" si="0"/>
        <v>1283.3333333333335</v>
      </c>
      <c r="AX5" s="3">
        <f t="shared" si="1"/>
        <v>0.3191709844559586</v>
      </c>
      <c r="AY5" s="26">
        <f t="shared" si="2"/>
        <v>5000</v>
      </c>
      <c r="AZ5" s="1" t="str">
        <f t="shared" ca="1" si="10"/>
        <v>OK</v>
      </c>
    </row>
    <row r="6" spans="1:52" x14ac:dyDescent="0.35">
      <c r="A6" s="1" t="s">
        <v>157</v>
      </c>
      <c r="B6" s="1" t="s">
        <v>76</v>
      </c>
      <c r="C6" s="1" t="s">
        <v>181</v>
      </c>
      <c r="D6" s="1" t="str">
        <f t="shared" ca="1" si="3"/>
        <v>Active</v>
      </c>
      <c r="E6" s="1" t="s">
        <v>170</v>
      </c>
      <c r="G6" s="1" t="s">
        <v>77</v>
      </c>
      <c r="H6" s="1" t="s">
        <v>78</v>
      </c>
      <c r="I6" s="1">
        <v>12</v>
      </c>
      <c r="J6" s="2">
        <v>45689</v>
      </c>
      <c r="K6" s="2">
        <f t="shared" si="4"/>
        <v>46053</v>
      </c>
      <c r="L6" s="26">
        <v>2000</v>
      </c>
      <c r="M6" s="26">
        <v>30000</v>
      </c>
      <c r="N6" s="4">
        <v>0</v>
      </c>
      <c r="O6" s="26">
        <f t="shared" si="5"/>
        <v>0</v>
      </c>
      <c r="P6" s="26">
        <f t="shared" si="6"/>
        <v>30000</v>
      </c>
      <c r="Q6" s="1" t="s">
        <v>79</v>
      </c>
      <c r="R6" s="1" t="s">
        <v>163</v>
      </c>
      <c r="S6" s="1" t="s">
        <v>158</v>
      </c>
      <c r="T6" s="26" t="s">
        <v>16</v>
      </c>
      <c r="U6"/>
      <c r="V6"/>
      <c r="W6"/>
      <c r="X6" s="26">
        <v>3000</v>
      </c>
      <c r="Y6" s="1" t="s">
        <v>80</v>
      </c>
      <c r="Z6" s="1" t="s">
        <v>81</v>
      </c>
      <c r="AB6" s="26">
        <v>500</v>
      </c>
      <c r="AC6" s="1" t="s">
        <v>82</v>
      </c>
      <c r="AD6" s="1" t="s">
        <v>83</v>
      </c>
      <c r="AF6" s="26">
        <v>600</v>
      </c>
      <c r="AG6" s="1" t="s">
        <v>84</v>
      </c>
      <c r="AH6" s="1" t="s">
        <v>85</v>
      </c>
      <c r="AJ6" s="26">
        <v>200</v>
      </c>
      <c r="AK6" s="1" t="s">
        <v>86</v>
      </c>
      <c r="AL6" s="1" t="s">
        <v>87</v>
      </c>
      <c r="AN6" s="26">
        <v>250</v>
      </c>
      <c r="AO6" s="1" t="s">
        <v>159</v>
      </c>
      <c r="AP6" s="1" t="s">
        <v>88</v>
      </c>
      <c r="AQ6" s="26">
        <v>500</v>
      </c>
      <c r="AR6" s="26">
        <f t="shared" si="7"/>
        <v>4550</v>
      </c>
      <c r="AS6" s="26">
        <f t="shared" si="8"/>
        <v>500</v>
      </c>
      <c r="AT6" s="1">
        <v>100</v>
      </c>
      <c r="AU6" s="5" cm="1">
        <f t="array" ref="AU6">IF(F6="", 0, IFERROR(_xlfn.XLOOKUP(F6, Inventory!A:A, (Inventory!S:S/12 + Inventory!T:T + Inventory!Q:Q/Inventory!N:N) / Inventory!H:H) * AT6, 0))</f>
        <v>0</v>
      </c>
      <c r="AV6" s="5">
        <f t="shared" si="9"/>
        <v>4550</v>
      </c>
      <c r="AW6" s="5">
        <f t="shared" si="0"/>
        <v>25450</v>
      </c>
      <c r="AX6" s="3">
        <f t="shared" si="1"/>
        <v>0.84833333333333338</v>
      </c>
      <c r="AY6" s="26">
        <f t="shared" si="2"/>
        <v>1500</v>
      </c>
      <c r="AZ6" s="1" t="str">
        <f t="shared" ca="1" si="10"/>
        <v>🔥 Renew Now (&lt;3m)</v>
      </c>
    </row>
    <row r="7" spans="1:52" x14ac:dyDescent="0.35">
      <c r="A7" s="1" t="s">
        <v>164</v>
      </c>
      <c r="B7" s="1" t="s">
        <v>89</v>
      </c>
      <c r="C7" s="1" t="s">
        <v>182</v>
      </c>
      <c r="D7" s="1" t="str">
        <f t="shared" ca="1" si="3"/>
        <v>Active</v>
      </c>
      <c r="E7" s="1" t="s">
        <v>171</v>
      </c>
      <c r="F7" s="1" t="s">
        <v>174</v>
      </c>
      <c r="G7" s="1" t="s">
        <v>100</v>
      </c>
      <c r="H7" s="1" t="s">
        <v>165</v>
      </c>
      <c r="I7" s="1">
        <v>180</v>
      </c>
      <c r="J7" s="2">
        <v>45809</v>
      </c>
      <c r="K7" s="2">
        <f t="shared" si="4"/>
        <v>51287</v>
      </c>
      <c r="L7" s="26">
        <v>0</v>
      </c>
      <c r="M7" s="26">
        <v>0</v>
      </c>
      <c r="N7" s="4">
        <v>0</v>
      </c>
      <c r="O7" s="26">
        <f t="shared" si="5"/>
        <v>0</v>
      </c>
      <c r="P7" s="26">
        <f t="shared" si="6"/>
        <v>0</v>
      </c>
      <c r="T7" s="26" t="s">
        <v>16</v>
      </c>
      <c r="U7"/>
      <c r="V7"/>
      <c r="W7"/>
      <c r="X7" s="26">
        <v>0</v>
      </c>
      <c r="AB7" s="26">
        <v>0</v>
      </c>
      <c r="AF7" s="26">
        <v>0</v>
      </c>
      <c r="AG7" s="1" t="s">
        <v>90</v>
      </c>
      <c r="AH7" s="1" t="s">
        <v>166</v>
      </c>
      <c r="AJ7" s="26">
        <v>200</v>
      </c>
      <c r="AK7" s="1" t="s">
        <v>91</v>
      </c>
      <c r="AL7" s="1" t="s">
        <v>167</v>
      </c>
      <c r="AN7" s="26">
        <v>200</v>
      </c>
      <c r="AQ7" s="26">
        <v>0</v>
      </c>
      <c r="AR7" s="26">
        <f t="shared" si="7"/>
        <v>400</v>
      </c>
      <c r="AS7" s="26">
        <f t="shared" si="8"/>
        <v>0</v>
      </c>
      <c r="AT7" s="1">
        <v>100</v>
      </c>
      <c r="AU7" s="5" cm="1">
        <f t="array" ref="AU7">IF(F7="", 0, IFERROR(_xlfn.XLOOKUP(F7, Inventory!A:A, (Inventory!S:S/12 + Inventory!T:T + Inventory!Q:Q/Inventory!N:N) / Inventory!H:H) * AT7, 0))</f>
        <v>4187.5</v>
      </c>
      <c r="AV7" s="5">
        <f t="shared" si="9"/>
        <v>4587.5</v>
      </c>
      <c r="AW7" s="5">
        <f t="shared" si="0"/>
        <v>-4587.5</v>
      </c>
      <c r="AX7" s="3">
        <f t="shared" si="1"/>
        <v>0</v>
      </c>
      <c r="AY7" s="26">
        <f t="shared" si="2"/>
        <v>0</v>
      </c>
      <c r="AZ7" s="1" t="str">
        <f t="shared" ca="1" si="10"/>
        <v>OK</v>
      </c>
    </row>
    <row r="8" spans="1:52" x14ac:dyDescent="0.35">
      <c r="A8" s="1" t="s">
        <v>202</v>
      </c>
      <c r="B8" s="1" t="s">
        <v>203</v>
      </c>
      <c r="C8" s="1" t="s">
        <v>179</v>
      </c>
      <c r="D8" s="1" t="str">
        <f t="shared" ca="1" si="3"/>
        <v>Active</v>
      </c>
      <c r="E8" s="1" t="s">
        <v>170</v>
      </c>
      <c r="G8" s="1" t="s">
        <v>204</v>
      </c>
      <c r="H8" s="1" t="s">
        <v>205</v>
      </c>
      <c r="I8" s="1">
        <v>24</v>
      </c>
      <c r="J8" s="2">
        <v>45306</v>
      </c>
      <c r="K8" s="2">
        <f t="shared" si="4"/>
        <v>46036</v>
      </c>
      <c r="L8" s="1">
        <v>1600</v>
      </c>
      <c r="M8" s="1">
        <v>23500</v>
      </c>
      <c r="N8" s="4">
        <v>0</v>
      </c>
      <c r="O8" s="26">
        <f t="shared" si="5"/>
        <v>0</v>
      </c>
      <c r="P8" s="26">
        <f t="shared" si="6"/>
        <v>23500</v>
      </c>
      <c r="Q8" s="1" t="s">
        <v>206</v>
      </c>
      <c r="R8" s="1" t="s">
        <v>207</v>
      </c>
      <c r="S8" s="1" t="s">
        <v>208</v>
      </c>
      <c r="T8" s="26" t="s">
        <v>35</v>
      </c>
      <c r="U8">
        <v>1</v>
      </c>
      <c r="V8">
        <v>0</v>
      </c>
      <c r="W8">
        <v>12000</v>
      </c>
      <c r="X8" s="1">
        <v>22500</v>
      </c>
      <c r="AB8" s="26">
        <v>0</v>
      </c>
      <c r="AU8" s="5" cm="1">
        <f t="array" ref="AU8">IF(F8="", 0, IFERROR(_xlfn.XLOOKUP(F8, Inventory!A:A, (Inventory!S:S/12 + Inventory!T:T + Inventory!Q:Q/Inventory!N:N) / Inventory!H:H) * AT8, 0))</f>
        <v>0</v>
      </c>
      <c r="AV8" s="5">
        <f t="shared" si="9"/>
        <v>0</v>
      </c>
      <c r="AW8" s="5">
        <f t="shared" si="0"/>
        <v>23500</v>
      </c>
      <c r="AX8" s="3">
        <f t="shared" si="1"/>
        <v>1</v>
      </c>
      <c r="AY8" s="26">
        <f t="shared" si="2"/>
        <v>1600</v>
      </c>
      <c r="AZ8" s="1" t="str">
        <f t="shared" ca="1" si="10"/>
        <v>🔥 Renew Now (&lt;3m)</v>
      </c>
    </row>
    <row r="9" spans="1:52" x14ac:dyDescent="0.35">
      <c r="K9" s="2"/>
    </row>
    <row r="10" spans="1:52" x14ac:dyDescent="0.35">
      <c r="K10" s="2"/>
    </row>
    <row r="11" spans="1:52" x14ac:dyDescent="0.35">
      <c r="K11" s="2"/>
    </row>
    <row r="12" spans="1:52" x14ac:dyDescent="0.35">
      <c r="K12" s="2"/>
    </row>
    <row r="13" spans="1:52" x14ac:dyDescent="0.35">
      <c r="K13" s="2"/>
    </row>
    <row r="14" spans="1:52" x14ac:dyDescent="0.35">
      <c r="K14" s="2"/>
    </row>
    <row r="15" spans="1:52" x14ac:dyDescent="0.35">
      <c r="K15" s="2"/>
    </row>
    <row r="16" spans="1:52" x14ac:dyDescent="0.35">
      <c r="K16" s="2"/>
    </row>
    <row r="17" spans="11:11" x14ac:dyDescent="0.35">
      <c r="K17" s="2"/>
    </row>
    <row r="18" spans="11:11" x14ac:dyDescent="0.35">
      <c r="K18" s="2"/>
    </row>
    <row r="19" spans="11:11" x14ac:dyDescent="0.35">
      <c r="K19" s="2"/>
    </row>
    <row r="20" spans="11:11" x14ac:dyDescent="0.35">
      <c r="K20" s="2"/>
    </row>
    <row r="21" spans="11:11" x14ac:dyDescent="0.35">
      <c r="K21" s="2"/>
    </row>
  </sheetData>
  <phoneticPr fontId="1" type="noConversion"/>
  <conditionalFormatting sqref="E2:E501">
    <cfRule type="expression" dxfId="1" priority="3">
      <formula>$E2="Swapped Out"</formula>
    </cfRule>
  </conditionalFormatting>
  <conditionalFormatting sqref="AX2:AX26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2:AZ194">
    <cfRule type="containsText" dxfId="0" priority="1" operator="containsText" text="Renew">
      <formula>NOT(ISERROR(SEARCH("Renew",AZ2)))</formula>
    </cfRule>
  </conditionalFormatting>
  <dataValidations count="2">
    <dataValidation type="list" allowBlank="1" showInputMessage="1" showErrorMessage="1" sqref="E2:E8" xr:uid="{FB980622-2850-1E45-B118-0F36CDF47C4B}">
      <formula1>"Inventory, Hybrid, Resale, Swapped out"</formula1>
    </dataValidation>
    <dataValidation type="list" allowBlank="1" showInputMessage="1" showErrorMessage="1" sqref="T2:T8" xr:uid="{66109E8A-1886-4E95-AC81-7F4ABF304484}">
      <formula1>"Lease, IRU"</formula1>
    </dataValidation>
  </dataValidations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04F44E-A40A-4835-B3BB-A6AF1BBF84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Dashboard</vt:lpstr>
      <vt:lpstr>Inventory</vt:lpstr>
      <vt:lpstr>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Cai</dc:creator>
  <cp:lastModifiedBy>Nick Cai</cp:lastModifiedBy>
  <dcterms:created xsi:type="dcterms:W3CDTF">2025-12-29T05:39:57Z</dcterms:created>
  <dcterms:modified xsi:type="dcterms:W3CDTF">2026-01-05T09:25:09Z</dcterms:modified>
</cp:coreProperties>
</file>